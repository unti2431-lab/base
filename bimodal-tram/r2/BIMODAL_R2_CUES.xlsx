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59a9ed4da94e19" /></Relationships>
</file>

<file path=xl/workbook.xml><?xml version="1.0" encoding="utf-8"?>
<x:workbook xmlns:x="http://schemas.openxmlformats.org/spreadsheetml/2006/main">
  <x:sheets>
    <x:sheet xmlns:r="http://schemas.openxmlformats.org/officeDocument/2006/relationships" name="Overview" sheetId="1" r:id="Rc78491eddc824ed2"/>
    <x:sheet xmlns:r="http://schemas.openxmlformats.org/officeDocument/2006/relationships" name="Short58" sheetId="2" r:id="R728224e45bd64f44"/>
    <x:sheet xmlns:r="http://schemas.openxmlformats.org/officeDocument/2006/relationships" name="Long10" sheetId="3" r:id="R9bcf0ff9fb464ac9"/>
    <x:sheet xmlns:r="http://schemas.openxmlformats.org/officeDocument/2006/relationships" name="Sources" sheetId="4" r:id="Rfd964fa5eec5412c"/>
    <x:sheet xmlns:r="http://schemas.openxmlformats.org/officeDocument/2006/relationships" name="Claims" sheetId="5" r:id="R6db64928c9b3476e"/>
    <x:sheet xmlns:r="http://schemas.openxmlformats.org/officeDocument/2006/relationships" name="QA" sheetId="6" r:id="R207a8242f9bc4b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sz val="11"/>
      <x:color rgb="FF213547"/>
      <x:name val="Carlito"/>
    </x:font>
    <x:font>
      <x:b/>
      <x:sz val="11"/>
      <x:color rgb="FF126BA0"/>
      <x:name val="Carlito"/>
    </x:font>
    <x:font>
      <x:sz val="11"/>
      <x:color rgb="FF126BA0"/>
      <x:name val="Carlito"/>
    </x:font>
  </x:fonts>
  <x:fills count="8">
    <x:fill>
      <x:patternFill patternType="none"/>
    </x:fill>
    <x:fill>
      <x:patternFill patternType="gray125"/>
    </x:fill>
    <x:fill>
      <x:patternFill patternType="solid">
        <x:fgColor rgb="FF153042"/>
      </x:patternFill>
    </x:fill>
    <x:fill>
      <x:patternFill patternType="solid">
        <x:fgColor rgb="FFEFF5F7"/>
      </x:patternFill>
    </x:fill>
    <x:fill>
      <x:patternFill patternType="solid">
        <x:fgColor rgb="FFE1F0F4"/>
      </x:patternFill>
    </x:fill>
    <x:fill>
      <x:patternFill patternType="solid">
        <x:fgColor rgb="FFE5F3EE"/>
      </x:patternFill>
    </x:fill>
    <x:fill>
      <x:patternFill patternType="solid">
        <x:fgColor rgb="FFFFF1CF"/>
      </x:patternFill>
    </x:fill>
    <x:fill>
      <x:patternFill patternType="solid">
        <x:fgColor rgb="FFEDF2F2"/>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200" fontId="4" fillId="4" borderId="1" xfId="0" applyNumberFormat="1" applyFont="1" applyFill="1" applyBorder="1" applyAlignment="1">
      <x:alignment vertical="top" wrapText="1"/>
    </x:xf>
    <x:xf numFmtId="200" fontId="0" fillId="7" borderId="1" xfId="0" applyNumberFormat="1" applyFont="1" applyFill="1" applyBorder="1" applyAlignment="1">
      <x:alignment vertical="top" wrapText="1"/>
    </x:xf>
  </x:cellXfs>
  <x:cellStyles count="1">
    <x:cellStyle name="Normal" xfId="0"/>
  </x:cellStyles>
  <x:dxfs count="1">
    <x:dxf>
      <x:font>
        <x:color rgb="FFA32114"/>
      </x:font>
      <x:fill>
        <x:patternFill patternType="solid">
          <x:bgColor rgb="FFFFD0C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e9c68637824cd9" /><Relationship Type="http://schemas.openxmlformats.org/officeDocument/2006/relationships/theme" Target="/xl/theme/theme1.xml" Id="R58070ebaa93a4ee0" /><Relationship Type="http://schemas.openxmlformats.org/officeDocument/2006/relationships/sharedStrings" Target="/xl/sharedStrings.xml" Id="R07944088e6bd4280" /><Relationship Type="http://schemas.openxmlformats.org/officeDocument/2006/relationships/worksheet" Target="/xl/worksheets/sheet1.xml" Id="Rc78491eddc824ed2" /><Relationship Type="http://schemas.openxmlformats.org/officeDocument/2006/relationships/worksheet" Target="/xl/worksheets/sheet2.xml" Id="R728224e45bd64f44" /><Relationship Type="http://schemas.openxmlformats.org/officeDocument/2006/relationships/worksheet" Target="/xl/worksheets/sheet3.xml" Id="R9bcf0ff9fb464ac9" /><Relationship Type="http://schemas.openxmlformats.org/officeDocument/2006/relationships/worksheet" Target="/xl/worksheets/sheet4.xml" Id="Rfd964fa5eec5412c" /><Relationship Type="http://schemas.openxmlformats.org/officeDocument/2006/relationships/worksheet" Target="/xl/worksheets/sheet5.xml" Id="R6db64928c9b3476e" /><Relationship Type="http://schemas.openxmlformats.org/officeDocument/2006/relationships/worksheet" Target="/xl/worksheets/sheet6.xml" Id="R207a8242f9bc4b9c" /></Relationships>
</file>

<file path=xl/tables/table1.xml><?xml version="1.0" encoding="utf-8"?>
<x:table xmlns:x="http://schemas.openxmlformats.org/spreadsheetml/2006/main" id="1" name="ShortCueTable" displayName="ShortCueTable" ref="A5:N19" headerRowCount="1" totalsRowCount="0" totalsRowShown="0">
  <x:tableColumns count="14">
    <x:tableColumn id="1" name="샷 ID"/>
    <x:tableColumn id="2" name="시작(초)"/>
    <x:tableColumn id="3" name="종료(초)"/>
    <x:tableColumn id="4" name="길이(초)"/>
    <x:tableColumn id="5" name="시작 F · 0기준"/>
    <x:tableColumn id="6" name="종료 F · 미포함"/>
    <x:tableColumn id="7" name="내레이션 V/O"/>
    <x:tableColumn id="8" name="화면 · 카메라 · 상태 변화"/>
    <x:tableColumn id="9" name="SFX · 음악"/>
    <x:tableColumn id="10" name="역할 / 장"/>
    <x:tableColumn id="11" name="검수 핵심"/>
    <x:tableColumn id="12" name="근거 ID"/>
    <x:tableColumn id="13" name="근거 원문 URL"/>
    <x:tableColumn id="14" name="상태"/>
  </x:tableColumns>
  <x:tableStyleInfo name="TableStyleMedium2" showFirstColumn="0" showLastColumn="0" showRowStripes="1" showColumnStripes="0"/>
</x:table>
</file>

<file path=xl/tables/table2.xml><?xml version="1.0" encoding="utf-8"?>
<x:table xmlns:x="http://schemas.openxmlformats.org/spreadsheetml/2006/main" id="2" name="LongCueTable" displayName="LongCueTable" ref="A5:N45" headerRowCount="1" totalsRowCount="0" totalsRowShown="0">
  <x:tableColumns count="14">
    <x:tableColumn id="1" name="샷 ID"/>
    <x:tableColumn id="2" name="시작(초)"/>
    <x:tableColumn id="3" name="종료(초)"/>
    <x:tableColumn id="4" name="길이(초)"/>
    <x:tableColumn id="5" name="시작 F · 0기준"/>
    <x:tableColumn id="6" name="종료 F · 미포함"/>
    <x:tableColumn id="7" name="내레이션 V/O"/>
    <x:tableColumn id="8" name="화면 · 카메라 · 상태 변화"/>
    <x:tableColumn id="9" name="SFX · 음악"/>
    <x:tableColumn id="10" name="역할 / 장"/>
    <x:tableColumn id="11" name="검수 핵심"/>
    <x:tableColumn id="12" name="근거 ID"/>
    <x:tableColumn id="13" name="근거 원문 URL"/>
    <x:tableColumn id="14" name="상태"/>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F16" headerRowCount="1" totalsRowCount="0" totalsRowShown="0">
  <x:tableColumns count="6">
    <x:tableColumn id="1" name="근거 ID"/>
    <x:tableColumn id="2" name="기관 / 자료"/>
    <x:tableColumn id="3" name="작성 시점"/>
    <x:tableColumn id="4" name="원문 URL"/>
    <x:tableColumn id="5" name="지지하는 내용"/>
    <x:tableColumn id="6" name="확대 해석 금지"/>
  </x:tableColumns>
  <x:tableStyleInfo name="TableStyleMedium2" showFirstColumn="0" showLastColumn="0" showRowStripes="1" showColumnStripes="0"/>
</x:table>
</file>

<file path=xl/tables/table4.xml><?xml version="1.0" encoding="utf-8"?>
<x:table xmlns:x="http://schemas.openxmlformats.org/spreadsheetml/2006/main" id="4" name="ClaimsTable" displayName="ClaimsTable" ref="A5:D16" headerRowCount="1" totalsRowCount="0" totalsRowShown="0">
  <x:tableColumns count="4">
    <x:tableColumn id="1" name="기존 문장 / 주장"/>
    <x:tableColumn id="2" name="처리"/>
    <x:tableColumn id="3" name="수정 이유 / 제한"/>
    <x:tableColumn id="4" name="근거"/>
  </x:tableColumns>
  <x:tableStyleInfo name="TableStyleMedium2" showFirstColumn="0" showLastColumn="0" showRowStripes="1" showColumnStripes="0"/>
</x:table>
</file>

<file path=xl/tables/table5.xml><?xml version="1.0" encoding="utf-8"?>
<x:table xmlns:x="http://schemas.openxmlformats.org/spreadsheetml/2006/main" id="5" name="QATable" displayName="QATable" ref="A5:C19" headerRowCount="1" totalsRowCount="0" totalsRowShown="0">
  <x:tableColumns count="3">
    <x:tableColumn id="1" name="번호"/>
    <x:tableColumn id="2" name="조건 / 검수 지시"/>
    <x:tableColumn id="3" name="진행"/>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c30495aeef4f2b" /></Relationships>
</file>

<file path=xl/worksheets/_rels/sheet3.xml.rels>&#65279;<?xml version="1.0" encoding="utf-8"?><Relationships xmlns="http://schemas.openxmlformats.org/package/2006/relationships"><Relationship Type="http://schemas.openxmlformats.org/officeDocument/2006/relationships/table" Target="/xl/tables/table2.xml" Id="Rd946aa7fd6fc40a5" /></Relationships>
</file>

<file path=xl/worksheets/_rels/sheet4.xml.rels>&#65279;<?xml version="1.0" encoding="utf-8"?><Relationships xmlns="http://schemas.openxmlformats.org/package/2006/relationships"><Relationship Type="http://schemas.openxmlformats.org/officeDocument/2006/relationships/table" Target="/xl/tables/table3.xml" Id="Rde753ce5a81c4fc7" /></Relationships>
</file>

<file path=xl/worksheets/_rels/sheet5.xml.rels>&#65279;<?xml version="1.0" encoding="utf-8"?><Relationships xmlns="http://schemas.openxmlformats.org/package/2006/relationships"><Relationship Type="http://schemas.openxmlformats.org/officeDocument/2006/relationships/table" Target="/xl/tables/table4.xml" Id="R7bdbb0212d4f48ec" /></Relationships>
</file>

<file path=xl/worksheets/_rels/sheet6.xml.rels>&#65279;<?xml version="1.0" encoding="utf-8"?><Relationships xmlns="http://schemas.openxmlformats.org/package/2006/relationships"><Relationship Type="http://schemas.openxmlformats.org/officeDocument/2006/relationships/table" Target="/xl/tables/table5.xml" Id="R82d2cf2553e640db"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2" hidden="0" customWidth="1"/>
    <x:col min="2" max="2" width="28" hidden="0" customWidth="1"/>
    <x:col min="3" max="3" width="27" hidden="0" customWidth="1"/>
    <x:col min="4" max="4" width="26" hidden="0" customWidth="1"/>
    <x:col min="5" max="5" width="14" hidden="0" customWidth="1"/>
    <x:col min="6" max="6" width="17" hidden="0" customWidth="1"/>
    <x:col min="7" max="7" width="22" hidden="0" customWidth="1"/>
    <x:col min="8" max="8" width="25" hidden="0" customWidth="1"/>
  </x:cols>
  <x:sheetData>
    <x:row r="1" ht="23" customHeight="1">
      <x:c r="A1" s="4" t="str">
        <x:v>바이모달 트램 | 대본·큐시트 R2</x:v>
      </x:c>
      <x:c r="B1" s="4"/>
      <x:c r="C1" s="4"/>
      <x:c r="D1" s="4"/>
      <x:c r="E1" s="4"/>
      <x:c r="F1" s="4"/>
      <x:c r="G1" s="4"/>
      <x:c r="H1" s="4"/>
    </x:row>
    <x:row r="2" ht="23" customHeight="1">
      <x:c r="A2" s="4"/>
      <x:c r="B2" s="4"/>
      <x:c r="C2" s="4"/>
      <x:c r="D2" s="4"/>
      <x:c r="E2" s="4"/>
      <x:c r="F2" s="4"/>
      <x:c r="G2" s="4"/>
      <x:c r="H2" s="4"/>
    </x:row>
    <x:row r="3" ht="30" customHeight="1">
      <x:c r="A3" s="9" t="str">
        <x:v>2026-10-08 · 원리 / 실제 운행 기록 / 고장 원인 / 비용 판단을 분리</x:v>
      </x:c>
      <x:c r="B3" s="9"/>
      <x:c r="C3" s="9"/>
      <x:c r="D3" s="9"/>
      <x:c r="E3" s="9"/>
      <x:c r="F3" s="9"/>
      <x:c r="G3" s="9"/>
      <x:c r="H3" s="9"/>
    </x:row>
    <x:row r="5" ht="32" customHeight="1">
      <x:c r="A5" s="14" t="str">
        <x:v>제작 항목</x:v>
      </x:c>
      <x:c r="B5" s="14" t="str">
        <x:v>설정</x:v>
      </x:c>
      <x:c r="C5" s="14" t="str">
        <x:v>의미</x:v>
      </x:c>
      <x:c r="D5" s="14" t="str">
        <x:v>상태</x:v>
      </x:c>
    </x:row>
    <x:row r="6" ht="37" customHeight="1">
      <x:c r="A6" s="19" t="str">
        <x:v>기준 FPS</x:v>
      </x:c>
      <x:c r="B6" s="23" t="n">
        <x:v>24</x:v>
      </x:c>
      <x:c r="C6" s="19" t="str">
        <x:v>전체 프레임 수의 기준</x:v>
      </x:c>
      <x:c r="D6" s="19" t="str">
        <x:v>명목 편집 설계</x:v>
      </x:c>
    </x:row>
    <x:row r="7" ht="37" customHeight="1">
      <x:c r="A7" s="19" t="str">
        <x:v>숏폼 목표(초)</x:v>
      </x:c>
      <x:c r="B7" s="23" t="n">
        <x:v>58</x:v>
      </x:c>
      <x:c r="C7" s="19" t="str">
        <x:v>9:16 / 1080×1920</x:v>
      </x:c>
      <x:c r="D7" s="19" t="str">
        <x:v>음성 미측정</x:v>
      </x:c>
    </x:row>
    <x:row r="8" ht="37" customHeight="1">
      <x:c r="A8" s="19" t="str">
        <x:v>롱폼 목표(초)</x:v>
      </x:c>
      <x:c r="B8" s="23" t="n">
        <x:v>600</x:v>
      </x:c>
      <x:c r="C8" s="19" t="str">
        <x:v>16:9 / 1920×1080</x:v>
      </x:c>
      <x:c r="D8" s="19" t="str">
        <x:v>음성 미측정</x:v>
      </x:c>
    </x:row>
    <x:row r="9" ht="37" customHeight="1">
      <x:c r="A9" s="19" t="str">
        <x:v>프레임 규약</x:v>
      </x:c>
      <x:c r="B9" s="19" t="str">
        <x:v>0-based / end-exclusive</x:v>
      </x:c>
      <x:c r="C9" s="19" t="str">
        <x:v>끝 프레임 미포함</x:v>
      </x:c>
      <x:c r="D9" s="19" t="str">
        <x:v>Blender: 시작+1 ~ 종료</x:v>
      </x:c>
    </x:row>
    <x:row r="11" ht="32" customHeight="1">
      <x:c r="A11" s="14" t="str">
        <x:v>큐시트 검산</x:v>
      </x:c>
      <x:c r="B11" s="14" t="str">
        <x:v>샷 수</x:v>
      </x:c>
      <x:c r="C11" s="14" t="str">
        <x:v>합계(초)</x:v>
      </x:c>
      <x:c r="D11" s="14" t="str">
        <x:v>목표(초)</x:v>
      </x:c>
      <x:c r="E11" s="14" t="str">
        <x:v>차이(초)</x:v>
      </x:c>
      <x:c r="F11" s="14" t="str">
        <x:v>합계(F)</x:v>
      </x:c>
      <x:c r="G11" s="14" t="str">
        <x:v>연속성</x:v>
      </x:c>
      <x:c r="H11" s="14" t="str">
        <x:v>진행 단계</x:v>
      </x:c>
    </x:row>
    <x:row r="12" ht="35" customHeight="1">
      <x:c r="A12" s="19" t="str">
        <x:v>Short58</x:v>
      </x:c>
      <x:c r="B12" s="26" t="n">
        <x:f>COUNTA(Short58!A6:A19)</x:f>
        <x:v>14</x:v>
      </x:c>
      <x:c r="C12" s="26" t="n">
        <x:f>SUM(Short58!D6:D19)</x:f>
        <x:v>58</x:v>
      </x:c>
      <x:c r="D12" s="26" t="n">
        <x:f>$B$7</x:f>
        <x:v>58</x:v>
      </x:c>
      <x:c r="E12" s="26" t="n">
        <x:f>C12-D12</x:f>
        <x:v>0</x:v>
      </x:c>
      <x:c r="F12" s="26" t="n">
        <x:f>C12*$B$6</x:f>
        <x:v>1392</x:v>
      </x:c>
      <x:c r="G12" s="19" t="str">
        <x:v>연속 / 공백 없음</x:v>
      </x:c>
      <x:c r="H12" s="19" t="str">
        <x:v>설계</x:v>
      </x:c>
    </x:row>
    <x:row r="13" ht="35" customHeight="1">
      <x:c r="A13" s="19" t="str">
        <x:v>Long10</x:v>
      </x:c>
      <x:c r="B13" s="26" t="n">
        <x:f>COUNTA(Long10!A6:A45)</x:f>
        <x:v>40</x:v>
      </x:c>
      <x:c r="C13" s="26" t="n">
        <x:f>SUM(Long10!D6:D45)</x:f>
        <x:v>600</x:v>
      </x:c>
      <x:c r="D13" s="26" t="n">
        <x:f>$B$8</x:f>
        <x:v>600</x:v>
      </x:c>
      <x:c r="E13" s="26" t="n">
        <x:f>C13-D13</x:f>
        <x:v>0</x:v>
      </x:c>
      <x:c r="F13" s="26" t="n">
        <x:f>C13*$B$6</x:f>
        <x:v>14400</x:v>
      </x:c>
      <x:c r="G13" s="19" t="str">
        <x:v>연속 / 공백 없음</x:v>
      </x:c>
      <x:c r="H13" s="19" t="str">
        <x:v>설계</x:v>
      </x:c>
    </x:row>
    <x:row r="14" ht="35" customHeight="1">
      <x:c r="A14" s="19" t="str">
        <x:v>읽는 순서</x:v>
      </x:c>
      <x:c r="B14" s="19" t="str">
        <x:v>Overview → Short58 / Long10 → Sources / Claims → QA</x:v>
      </x:c>
      <x:c r="C14" s="19"/>
      <x:c r="D14" s="19"/>
      <x:c r="E14" s="19"/>
      <x:c r="F14" s="19"/>
      <x:c r="G14" s="19"/>
      <x:c r="H14" s="19"/>
    </x:row>
    <x:row r="16" ht="26" customHeight="1">
      <x:c r="A16" s="29" t="str">
        <x:v>핵심 컷: 바퀴가 떠난 뒤 카메라가 남아 잔류변형을 보여준다. 순간 압축보다 '되돌아오지 않은 변화'를 관찰한다.</x:v>
      </x:c>
      <x:c r="B16" s="29"/>
      <x:c r="C16" s="29"/>
      <x:c r="D16" s="29"/>
      <x:c r="E16" s="29"/>
      <x:c r="F16" s="29"/>
      <x:c r="G16" s="29"/>
      <x:c r="H16" s="29"/>
    </x:row>
    <x:row r="17" ht="26" customHeight="1">
      <x:c r="A17" s="29"/>
      <x:c r="B17" s="29"/>
      <x:c r="C17" s="29"/>
      <x:c r="D17" s="29"/>
      <x:c r="E17" s="29"/>
      <x:c r="F17" s="29"/>
      <x:c r="G17" s="29"/>
      <x:c r="H17" s="29"/>
    </x:row>
    <x:row r="19" ht="25" customHeight="1">
      <x:c r="A19" s="34" t="str">
        <x:v>이 패키지는 완성 대본과 명목 편집 설계입니다. TTS 생성·실측, Blender 장면 제작, 실제 물성 해석, 영상 렌더 및 음성 싱크 검수는 수행하지 않았습니다. 파손 깊이·기간·운행 횟수를 실제 사례처럼 표시하지 마세요.</x:v>
      </x:c>
      <x:c r="B19" s="34"/>
      <x:c r="C19" s="34"/>
      <x:c r="D19" s="34"/>
      <x:c r="E19" s="34"/>
      <x:c r="F19" s="34"/>
      <x:c r="G19" s="34"/>
      <x:c r="H19" s="34"/>
    </x:row>
    <x:row r="20" ht="25" customHeight="1">
      <x:c r="A20" s="34"/>
      <x:c r="B20" s="34"/>
      <x:c r="C20" s="34"/>
      <x:c r="D20" s="34"/>
      <x:c r="E20" s="34"/>
      <x:c r="F20" s="34"/>
      <x:c r="G20" s="34"/>
      <x:c r="H20" s="34"/>
    </x:row>
    <x:row r="21" ht="25" customHeight="1">
      <x:c r="A21" s="34"/>
      <x:c r="B21" s="34"/>
      <x:c r="C21" s="34"/>
      <x:c r="D21" s="34"/>
      <x:c r="E21" s="34"/>
      <x:c r="F21" s="34"/>
      <x:c r="G21" s="34"/>
      <x:c r="H21" s="34"/>
    </x:row>
  </x:sheetData>
  <x:mergeCells>
    <x:mergeCell ref="A1:H2"/>
    <x:mergeCell ref="A3:H3"/>
    <x:mergeCell ref="B14:H14"/>
    <x:mergeCell ref="A16:H17"/>
    <x:mergeCell ref="A19:H21"/>
  </x:mergeCells>
  <x:conditionalFormatting sqref="E12:E13">
    <x:cfRule type="cellIs" dxfId="0" priority="1" operator="notEqual">
      <x:formula>0</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11" hidden="0" customWidth="1"/>
    <x:col min="3" max="3" width="11" hidden="0" customWidth="1"/>
    <x:col min="4" max="4" width="11" hidden="0" customWidth="1"/>
    <x:col min="5" max="5" width="15" hidden="0" customWidth="1"/>
    <x:col min="6" max="6" width="15" hidden="0" customWidth="1"/>
    <x:col min="7" max="7" width="40" hidden="0" customWidth="1"/>
    <x:col min="8" max="8" width="40" hidden="0" customWidth="1"/>
    <x:col min="9" max="9" width="30" hidden="0" customWidth="1"/>
    <x:col min="10" max="10" width="23" hidden="0" customWidth="1"/>
    <x:col min="11" max="11" width="38" hidden="0" customWidth="1"/>
    <x:col min="12" max="12" width="17" hidden="0" customWidth="1"/>
    <x:col min="13" max="13" width="40" hidden="0" customWidth="1"/>
    <x:col min="14" max="14" width="22" hidden="0" customWidth="1"/>
  </x:cols>
  <x:sheetData>
    <x:row r="1" ht="23" customHeight="1">
      <x:c r="A1" s="4" t="str">
        <x:v>SHORT 58 | 운전은 정확한데, 도로는 왜 파일까?</x:v>
      </x:c>
      <x:c r="B1" s="4"/>
      <x:c r="C1" s="4"/>
      <x:c r="D1" s="4"/>
      <x:c r="E1" s="4"/>
      <x:c r="F1" s="4"/>
      <x:c r="G1" s="4"/>
      <x:c r="H1" s="4"/>
      <x:c r="I1" s="4"/>
      <x:c r="J1" s="4"/>
      <x:c r="K1" s="4"/>
      <x:c r="L1" s="4"/>
      <x:c r="M1" s="4"/>
      <x:c r="N1" s="4"/>
    </x:row>
    <x:row r="2" ht="23" customHeight="1">
      <x:c r="A2" s="4"/>
      <x:c r="B2" s="4"/>
      <x:c r="C2" s="4"/>
      <x:c r="D2" s="4"/>
      <x:c r="E2" s="4"/>
      <x:c r="F2" s="4"/>
      <x:c r="G2" s="4"/>
      <x:c r="H2" s="4"/>
      <x:c r="I2" s="4"/>
      <x:c r="J2" s="4"/>
      <x:c r="K2" s="4"/>
      <x:c r="L2" s="4"/>
      <x:c r="M2" s="4"/>
      <x:c r="N2" s="4"/>
    </x:row>
    <x:row r="3" ht="28" customHeight="1">
      <x:c r="A3" s="32" t="str">
        <x:v>시작·종료 초는 수정 가능 | 길이·프레임은 수식 자동 계산 | 명목 타임코드, 녹음 후 재조정 | 끝 프레임 미포함</x:v>
      </x:c>
      <x:c r="B3" s="32"/>
      <x:c r="C3" s="32"/>
      <x:c r="D3" s="32"/>
      <x:c r="E3" s="32"/>
      <x:c r="F3" s="32"/>
      <x:c r="G3" s="32"/>
      <x:c r="H3" s="32"/>
      <x:c r="I3" s="32"/>
      <x:c r="J3" s="32"/>
      <x:c r="K3" s="32"/>
      <x:c r="L3" s="32"/>
      <x:c r="M3" s="32"/>
      <x:c r="N3" s="32"/>
    </x:row>
    <x:row r="5" ht="32" customHeight="1">
      <x:c r="A5" s="14" t="str">
        <x:v>샷 ID</x:v>
      </x:c>
      <x:c r="B5" s="14" t="str">
        <x:v>시작(초)</x:v>
      </x:c>
      <x:c r="C5" s="14" t="str">
        <x:v>종료(초)</x:v>
      </x:c>
      <x:c r="D5" s="14" t="str">
        <x:v>길이(초)</x:v>
      </x:c>
      <x:c r="E5" s="14" t="str">
        <x:v>시작 F · 0기준</x:v>
      </x:c>
      <x:c r="F5" s="14" t="str">
        <x:v>종료 F · 미포함</x:v>
      </x:c>
      <x:c r="G5" s="14" t="str">
        <x:v>내레이션 V/O</x:v>
      </x:c>
      <x:c r="H5" s="14" t="str">
        <x:v>화면 · 카메라 · 상태 변화</x:v>
      </x:c>
      <x:c r="I5" s="14" t="str">
        <x:v>SFX · 음악</x:v>
      </x:c>
      <x:c r="J5" s="14" t="str">
        <x:v>역할 / 장</x:v>
      </x:c>
      <x:c r="K5" s="14" t="str">
        <x:v>검수 핵심</x:v>
      </x:c>
      <x:c r="L5" s="14" t="str">
        <x:v>근거 ID</x:v>
      </x:c>
      <x:c r="M5" s="14" t="str">
        <x:v>근거 원문 URL</x:v>
      </x:c>
      <x:c r="N5" s="14" t="str">
        <x:v>상태</x:v>
      </x:c>
    </x:row>
    <x:row r="6" ht="154" customHeight="1">
      <x:c r="A6" s="38" t="str">
        <x:v>S01</x:v>
      </x:c>
      <x:c r="B6" s="46" t="n">
        <x:v>0</x:v>
      </x:c>
      <x:c r="C6" s="46" t="n">
        <x:v>4</x:v>
      </x:c>
      <x:c r="D6" s="47" t="n">
        <x:f>C6-B6</x:f>
        <x:v>4</x:v>
      </x:c>
      <x:c r="E6" s="47" t="n">
        <x:f>B6*Overview!$B$6</x:f>
        <x:v>0</x:v>
      </x:c>
      <x:c r="F6" s="47" t="n">
        <x:f>C6*Overview!$B$6</x:f>
        <x:v>96</x:v>
      </x:c>
      <x:c r="G6" s="38" t="str">
        <x:v>이 버스가 매번 같은 자리만 밟으면,</x:v>
      </x:c>
      <x:c r="H6" s="38" t="str">
        <x:v>낮은 사선에서 타이어 통과. 카메라는 바퀴를 따라가지 않고 이미 존재하는 얕은 두 바퀴 홈에 남는다. 특정 도시의 실제 파손 현장이 아닌 개념 재현.</x:v>
      </x:c>
      <x:c r="I6" s="38" t="str">
        <x:v>타이어 통과음 1회. 첫 프레임부터 사건 시작.</x:v>
      </x:c>
      <x:c r="J6" s="38" t="str">
        <x:v>질문</x:v>
      </x:c>
      <x:c r="K6" s="38" t="str">
        <x:v>특정 노선의 실제 파손·측정 결과로 보이지 않게 함. 타이어·노면 접촉과 시간 압축 확인.</x:v>
      </x:c>
      <x:c r="L6" s="38" t="str">
        <x:v>F05</x:v>
      </x:c>
      <x:c r="M6" s="38" t="str">
        <x:v>https://www.fhwa.dot.gov/publications/research/operations/21015/21015.pdf</x:v>
      </x:c>
      <x:c r="N6" s="38" t="str">
        <x:v>음성 미측정 / 렌더 전</x:v>
      </x:c>
    </x:row>
    <x:row r="7" ht="154" customHeight="1">
      <x:c r="A7" s="38" t="str">
        <x:v>S02</x:v>
      </x:c>
      <x:c r="B7" s="46" t="n">
        <x:v>4</x:v>
      </x:c>
      <x:c r="C7" s="46" t="n">
        <x:v>7</x:v>
      </x:c>
      <x:c r="D7" s="47" t="n">
        <x:f>C7-B7</x:f>
        <x:v>3</x:v>
      </x:c>
      <x:c r="E7" s="47" t="n">
        <x:f>B7*Overview!$B$6</x:f>
        <x:v>96</x:v>
      </x:c>
      <x:c r="F7" s="47" t="n">
        <x:f>C7*Overview!$B$6</x:f>
        <x:v>168</x:v>
      </x:c>
      <x:c r="G7" s="38" t="str">
        <x:v>도로는 더 빨리 파일 수도 있습니다.</x:v>
      </x:c>
      <x:c r="H7" s="38" t="str">
        <x:v>길게 이어진 홈을 3/4 상공 시점으로 확인. 홈은 차량의 좌우 타이어 주행대와 일치.</x:v>
      </x:c>
      <x:c r="I7" s="38" t="str">
        <x:v>통과음 잔향만 남기고 0.3초 쉼.</x:v>
      </x:c>
      <x:c r="J7" s="38" t="str">
        <x:v>결과</x:v>
      </x:c>
      <x:c r="K7" s="38" t="str">
        <x:v>특정 노선의 실제 파손·측정 결과로 보이지 않게 함. 타이어·노면 접촉과 시간 압축 확인.</x:v>
      </x:c>
      <x:c r="L7" s="38" t="str">
        <x:v>F05</x:v>
      </x:c>
      <x:c r="M7" s="38" t="str">
        <x:v>https://www.fhwa.dot.gov/publications/research/operations/21015/21015.pdf</x:v>
      </x:c>
      <x:c r="N7" s="38" t="str">
        <x:v>음성 미측정 / 렌더 전</x:v>
      </x:c>
    </x:row>
    <x:row r="8" ht="154" customHeight="1">
      <x:c r="A8" s="38" t="str">
        <x:v>S03</x:v>
      </x:c>
      <x:c r="B8" s="46" t="n">
        <x:v>7</x:v>
      </x:c>
      <x:c r="C8" s="46" t="n">
        <x:v>12</x:v>
      </x:c>
      <x:c r="D8" s="47" t="n">
        <x:f>C8-B8</x:f>
        <x:v>5</x:v>
      </x:c>
      <x:c r="E8" s="47" t="n">
        <x:f>B8*Overview!$B$6</x:f>
        <x:v>168</x:v>
      </x:c>
      <x:c r="F8" s="47" t="n">
        <x:f>C8*Overview!$B$6</x:f>
        <x:v>288</x:v>
      </x:c>
      <x:c r="G8" s="38" t="str">
        <x:v>도로 속 자석을 읽고 달리는 바이모달 트램.</x:v>
      </x:c>
      <x:c r="H8" s="38" t="str">
        <x:v>형상 기준을 맞춘 굴절차량 측면에서 하부로 짧게 이동. 절개된 노면에서 매립 자석과 차체 하부 센서의 상대 위치 공개. 레이저 없음.</x:v>
      </x:c>
      <x:c r="I8" s="38" t="str">
        <x:v>차량 저역 주행음. 센서에서 가짜 스캔음 내지 않음.</x:v>
      </x:c>
      <x:c r="J8" s="38" t="str">
        <x:v>장치</x:v>
      </x:c>
      <x:c r="K8" s="38" t="str">
        <x:v>특정 노선의 실제 파손·측정 결과로 보이지 않게 함. 타이어·노면 접촉과 시간 압축 확인.</x:v>
      </x:c>
      <x:c r="L8" s="38" t="str">
        <x:v>F01; F02</x:v>
      </x:c>
      <x:c r="M8" s="38" t="str">
        <x:v>https://patents.google.com/patent/KR100972385B1/ko
https://www.kric.go.kr/jsp/industry/knp/railCommonSenceDetail.jsp?p_id1=A010031131&amp;p_id2=159&amp;pageNo=6&amp;q_name=1</x:v>
      </x:c>
      <x:c r="N8" s="38" t="str">
        <x:v>음성 미측정 / 렌더 전</x:v>
      </x:c>
    </x:row>
    <x:row r="9" ht="154" customHeight="1">
      <x:c r="A9" s="38" t="str">
        <x:v>S04</x:v>
      </x:c>
      <x:c r="B9" s="46" t="n">
        <x:v>12</x:v>
      </x:c>
      <x:c r="C9" s="46" t="n">
        <x:v>17</x:v>
      </x:c>
      <x:c r="D9" s="47" t="n">
        <x:f>C9-B9</x:f>
        <x:v>5</x:v>
      </x:c>
      <x:c r="E9" s="47" t="n">
        <x:f>B9*Overview!$B$6</x:f>
        <x:v>288</x:v>
      </x:c>
      <x:c r="F9" s="47" t="n">
        <x:f>C9*Overview!$B$6</x:f>
        <x:v>408</x:v>
      </x:c>
      <x:c r="G9" s="38" t="str">
        <x:v>같은 경로를 반복하면, 바퀴 자국도 좁게 겹치기 쉽죠.</x:v>
      </x:c>
      <x:c r="H9" s="38" t="str">
        <x:v>고정 탑뷰. 서로 다른 통과를 동일 구도로 매치컷. 차체가 화면을 가리는 순간 시간 생략. 한 대의 차가 좌우로 흔들리지 않음.</x:v>
      </x:c>
      <x:c r="I9" s="38" t="str">
        <x:v>동일한 통과 리듬 3회.</x:v>
      </x:c>
      <x:c r="J9" s="38" t="str">
        <x:v>반복</x:v>
      </x:c>
      <x:c r="K9" s="38" t="str">
        <x:v>특정 노선의 실제 파손·측정 결과로 보이지 않게 함. 타이어·노면 접촉과 시간 압축 확인.</x:v>
      </x:c>
      <x:c r="L9" s="38" t="str">
        <x:v>F05; F09</x:v>
      </x:c>
      <x:c r="M9" s="38" t="str">
        <x:v>https://www.fhwa.dot.gov/publications/research/operations/21015/21015.pdf
https://mavmatrix.uta.edu/civilengineering_dissertations/417/</x:v>
      </x:c>
      <x:c r="N9" s="38" t="str">
        <x:v>음성 미측정 / 렌더 전</x:v>
      </x:c>
    </x:row>
    <x:row r="10" ht="154" customHeight="1">
      <x:c r="A10" s="38" t="str">
        <x:v>S05</x:v>
      </x:c>
      <x:c r="B10" s="46" t="n">
        <x:v>17</x:v>
      </x:c>
      <x:c r="C10" s="46" t="n">
        <x:v>20</x:v>
      </x:c>
      <x:c r="D10" s="47" t="n">
        <x:f>C10-B10</x:f>
        <x:v>3</x:v>
      </x:c>
      <x:c r="E10" s="47" t="n">
        <x:f>B10*Overview!$B$6</x:f>
        <x:v>408</x:v>
      </x:c>
      <x:c r="F10" s="47" t="n">
        <x:f>C10*Overview!$B$6</x:f>
        <x:v>480</x:v>
      </x:c>
      <x:c r="G10" s="38" t="str">
        <x:v>바퀴가 지나간 뒤를 보세요.</x:v>
      </x:c>
      <x:c r="H10" s="38" t="str">
        <x:v>마지막 타이어가 노면 표본의 절개면 위를 굴러 화면 밖으로 나간다. 절개면은 편집상 설명 모델.</x:v>
      </x:c>
      <x:c r="I10" s="38" t="str">
        <x:v>굴림음이 멀어짐. 음악 억제.</x:v>
      </x:c>
      <x:c r="J10" s="38" t="str">
        <x:v>접촉</x:v>
      </x:c>
      <x:c r="K10" s="38" t="str">
        <x:v>특정 노선의 실제 파손·측정 결과로 보이지 않게 함. 타이어·노면 접촉과 시간 압축 확인.</x:v>
      </x:c>
      <x:c r="L10" s="38" t="str">
        <x:v>F06; F07</x:v>
      </x:c>
      <x:c r="M10" s="38" t="str">
        <x:v>https://www.fhwa.dot.gov/publications/research/infrastructure/pavements/11045/003.cfm
https://link.springer.com/article/10.1186/s43065-023-00082-9</x:v>
      </x:c>
      <x:c r="N10" s="38" t="str">
        <x:v>음성 미측정 / 렌더 전</x:v>
      </x:c>
    </x:row>
    <x:row r="11" ht="154" customHeight="1">
      <x:c r="A11" s="38" t="str">
        <x:v>S06</x:v>
      </x:c>
      <x:c r="B11" s="46" t="n">
        <x:v>20</x:v>
      </x:c>
      <x:c r="C11" s="46" t="n">
        <x:v>25</x:v>
      </x:c>
      <x:c r="D11" s="47" t="n">
        <x:f>C11-B11</x:f>
        <x:v>5</x:v>
      </x:c>
      <x:c r="E11" s="47" t="n">
        <x:f>B11*Overview!$B$6</x:f>
        <x:v>480</x:v>
      </x:c>
      <x:c r="F11" s="47" t="n">
        <x:f>C11*Overview!$B$6</x:f>
        <x:v>600</x:v>
      </x:c>
      <x:c r="G11" s="38" t="str">
        <x:v>회복되지 않은 작은 눌림이 남을 수 있습니다.</x:v>
      </x:c>
      <x:c r="H11" s="38" t="str">
        <x:v>횡단 절개 고정. 하중 제거 뒤 일부 회복, 작은 잔류 변형 유지. 아래 지지층도 연결된 상태로 보존.</x:v>
      </x:c>
      <x:c r="I11" s="38" t="str">
        <x:v>아주 약한 재질 폴리. 큰 파열음 금지.</x:v>
      </x:c>
      <x:c r="J11" s="38" t="str">
        <x:v>잔류</x:v>
      </x:c>
      <x:c r="K11" s="38" t="str">
        <x:v>특정 노선의 실제 파손·측정 결과로 보이지 않게 함. 타이어·노면 접촉과 시간 압축 확인.</x:v>
      </x:c>
      <x:c r="L11" s="38" t="str">
        <x:v>F07</x:v>
      </x:c>
      <x:c r="M11" s="38" t="str">
        <x:v>https://link.springer.com/article/10.1186/s43065-023-00082-9</x:v>
      </x:c>
      <x:c r="N11" s="38" t="str">
        <x:v>음성 미측정 / 렌더 전</x:v>
      </x:c>
    </x:row>
    <x:row r="12" ht="154" customHeight="1">
      <x:c r="A12" s="38" t="str">
        <x:v>S07</x:v>
      </x:c>
      <x:c r="B12" s="46" t="n">
        <x:v>25</x:v>
      </x:c>
      <x:c r="C12" s="46" t="n">
        <x:v>28</x:v>
      </x:c>
      <x:c r="D12" s="47" t="n">
        <x:f>C12-B12</x:f>
        <x:v>3</x:v>
      </x:c>
      <x:c r="E12" s="47" t="n">
        <x:f>B12*Overview!$B$6</x:f>
        <x:v>600</x:v>
      </x:c>
      <x:c r="F12" s="47" t="n">
        <x:f>C12*Overview!$B$6</x:f>
        <x:v>672</x:v>
      </x:c>
      <x:c r="G12" s="38" t="str">
        <x:v>그 위를 또 밟고, 다시 밟으면,</x:v>
      </x:c>
      <x:c r="H12" s="38" t="str">
        <x:v>동일 표본·동일 카메라. 여러 시점의 통과를 압축해 연결. 반복 횟수와 기간 숫자는 표시하지 않음.</x:v>
      </x:c>
      <x:c r="I12" s="38" t="str">
        <x:v>서로 분리된 둔한 접촉 펄스. 타이어 슬립음 없음.</x:v>
      </x:c>
      <x:c r="J12" s="38" t="str">
        <x:v>누적</x:v>
      </x:c>
      <x:c r="K12" s="38" t="str">
        <x:v>특정 노선의 실제 파손·측정 결과로 보이지 않게 함. 타이어·노면 접촉과 시간 압축 확인.</x:v>
      </x:c>
      <x:c r="L12" s="38" t="str">
        <x:v>F06</x:v>
      </x:c>
      <x:c r="M12" s="38" t="str">
        <x:v>https://www.fhwa.dot.gov/publications/research/infrastructure/pavements/11045/003.cfm</x:v>
      </x:c>
      <x:c r="N12" s="38" t="str">
        <x:v>음성 미측정 / 렌더 전</x:v>
      </x:c>
    </x:row>
    <x:row r="13" ht="154" customHeight="1">
      <x:c r="A13" s="38" t="str">
        <x:v>S08</x:v>
      </x:c>
      <x:c r="B13" s="46" t="n">
        <x:v>28</x:v>
      </x:c>
      <x:c r="C13" s="46" t="n">
        <x:v>33</x:v>
      </x:c>
      <x:c r="D13" s="47" t="n">
        <x:f>C13-B13</x:f>
        <x:v>5</x:v>
      </x:c>
      <x:c r="E13" s="47" t="n">
        <x:f>B13*Overview!$B$6</x:f>
        <x:v>672</x:v>
      </x:c>
      <x:c r="F13" s="47" t="n">
        <x:f>C13*Overview!$B$6</x:f>
        <x:v>792</x:v>
      </x:c>
      <x:c r="G13" s="38" t="str">
        <x:v>남아 있던 변형이 쌓여, 긴 홈이 생길 수 있죠.</x:v>
      </x:c>
      <x:c r="H13" s="38" t="str">
        <x:v>누적 변형을 횡단면으로 보여준 뒤 표면의 두 주행대 공개. 골재는 단단하고 형상을 유지하며 소폭 이동. 용암 같은 흐름 금지.</x:v>
      </x:c>
      <x:c r="I13" s="38" t="str">
        <x:v>접촉 펄스 종료 후 짧은 정적.</x:v>
      </x:c>
      <x:c r="J13" s="38" t="str">
        <x:v>보상</x:v>
      </x:c>
      <x:c r="K13" s="38" t="str">
        <x:v>특정 노선의 실제 파손·측정 결과로 보이지 않게 함. 타이어·노면 접촉과 시간 압축 확인.</x:v>
      </x:c>
      <x:c r="L13" s="38" t="str">
        <x:v>F06; F07</x:v>
      </x:c>
      <x:c r="M13" s="38" t="str">
        <x:v>https://www.fhwa.dot.gov/publications/research/infrastructure/pavements/11045/003.cfm
https://link.springer.com/article/10.1186/s43065-023-00082-9</x:v>
      </x:c>
      <x:c r="N13" s="38" t="str">
        <x:v>음성 미측정 / 렌더 전</x:v>
      </x:c>
    </x:row>
    <x:row r="14" ht="154" customHeight="1">
      <x:c r="A14" s="38" t="str">
        <x:v>S09</x:v>
      </x:c>
      <x:c r="B14" s="46" t="n">
        <x:v>33</x:v>
      </x:c>
      <x:c r="C14" s="46" t="n">
        <x:v>37</x:v>
      </x:c>
      <x:c r="D14" s="47" t="n">
        <x:f>C14-B14</x:f>
        <x:v>4</x:v>
      </x:c>
      <x:c r="E14" s="47" t="n">
        <x:f>B14*Overview!$B$6</x:f>
        <x:v>792</x:v>
      </x:c>
      <x:c r="F14" s="47" t="n">
        <x:f>C14*Overview!$B$6</x:f>
        <x:v>888</x:v>
      </x:c>
      <x:c r="G14" s="38" t="str">
        <x:v>사람이 모는 버스도 이런 파임에서 예외는 아닙니다.</x:v>
      </x:c>
      <x:c r="H14" s="38" t="str">
        <x:v>같은 원리를 일반버스의 정차 접근 장면으로 매치컷. 실제 운전자 손·얼굴 없이 일반 도로 조건으로 제시.</x:v>
      </x:c>
      <x:c r="I14" s="38" t="str">
        <x:v>브레이크 공기음 약하게, 타이어 굴림 유지.</x:v>
      </x:c>
      <x:c r="J14" s="38" t="str">
        <x:v>일상 연결</x:v>
      </x:c>
      <x:c r="K14" s="38" t="str">
        <x:v>특정 노선의 실제 파손·측정 결과로 보이지 않게 함. 타이어·노면 접촉과 시간 압축 확인.</x:v>
      </x:c>
      <x:c r="L14" s="38" t="str">
        <x:v>F08</x:v>
      </x:c>
      <x:c r="M14" s="38" t="str">
        <x:v>https://www.kci.go.kr/kciportal/ci/sereArticleSearch/ciSereArtiView.kci?sereArticleSearchBean.artiId=ART001685955</x:v>
      </x:c>
      <x:c r="N14" s="38" t="str">
        <x:v>음성 미측정 / 렌더 전</x:v>
      </x:c>
    </x:row>
    <x:row r="15" ht="154" customHeight="1">
      <x:c r="A15" s="38" t="str">
        <x:v>S10</x:v>
      </x:c>
      <x:c r="B15" s="46" t="n">
        <x:v>37</x:v>
      </x:c>
      <x:c r="C15" s="46" t="n">
        <x:v>41</x:v>
      </x:c>
      <x:c r="D15" s="47" t="n">
        <x:f>C15-B15</x:f>
        <x:v>4</x:v>
      </x:c>
      <x:c r="E15" s="47" t="n">
        <x:f>B15*Overview!$B$6</x:f>
        <x:v>888</x:v>
      </x:c>
      <x:c r="F15" s="47" t="n">
        <x:f>C15*Overview!$B$6</x:f>
        <x:v>984</x:v>
      </x:c>
      <x:c r="G15" s="38" t="str">
        <x:v>차만큼, 길의 설계도 중요하다는 뜻입니다.</x:v>
      </x:c>
      <x:c r="H15" s="38" t="str">
        <x:v>차량 하부에서 카메라를 아래로 낮춰 노면과 지지층까지 한 화면에 둔다. 차와 길 어느 하나가 사라지지 않음.</x:v>
      </x:c>
      <x:c r="I15" s="38" t="str">
        <x:v>환경음에 낮은 지속음 복귀.</x:v>
      </x:c>
      <x:c r="J15" s="38" t="str">
        <x:v>해결</x:v>
      </x:c>
      <x:c r="K15" s="38" t="str">
        <x:v>특정 노선의 실제 파손·측정 결과로 보이지 않게 함. 타이어·노면 접촉과 시간 압축 확인.</x:v>
      </x:c>
      <x:c r="L15" s="38" t="str">
        <x:v>F06; F08</x:v>
      </x:c>
      <x:c r="M15" s="38" t="str">
        <x:v>https://www.fhwa.dot.gov/publications/research/infrastructure/pavements/11045/003.cfm
https://www.kci.go.kr/kciportal/ci/sereArticleSearch/ciSereArtiView.kci?sereArticleSearchBean.artiId=ART001685955</x:v>
      </x:c>
      <x:c r="N15" s="38" t="str">
        <x:v>음성 미측정 / 렌더 전</x:v>
      </x:c>
    </x:row>
    <x:row r="16" ht="154" customHeight="1">
      <x:c r="A16" s="38" t="str">
        <x:v>S11</x:v>
      </x:c>
      <x:c r="B16" s="46" t="n">
        <x:v>41</x:v>
      </x:c>
      <x:c r="C16" s="46" t="n">
        <x:v>44</x:v>
      </x:c>
      <x:c r="D16" s="47" t="n">
        <x:f>C16-B16</x:f>
        <x:v>3</x:v>
      </x:c>
      <x:c r="E16" s="47" t="n">
        <x:f>B16*Overview!$B$6</x:f>
        <x:v>984</x:v>
      </x:c>
      <x:c r="F16" s="47" t="n">
        <x:f>C16*Overview!$B$6</x:f>
        <x:v>1056</x:v>
      </x:c>
      <x:c r="G16" s="38" t="str">
        <x:v>몰랐던 문제도 아닙니다.</x:v>
      </x:c>
      <x:c r="H16" s="38" t="str">
        <x:v>일반 개념 표본에서 자석이 설치된 다른 포장 표본으로 실제 카메라 이동. 전환은 개선안 비교이지 실제 개보수 재현이 아님.</x:v>
      </x:c>
      <x:c r="I16" s="38" t="str">
        <x:v>절제된 전환음 1회.</x:v>
      </x:c>
      <x:c r="J16" s="38" t="str">
        <x:v>근거</x:v>
      </x:c>
      <x:c r="K16" s="38" t="str">
        <x:v>특정 노선의 실제 파손·측정 결과로 보이지 않게 함. 타이어·노면 접촉과 시간 압축 확인.</x:v>
      </x:c>
      <x:c r="L16" s="38" t="str">
        <x:v>F01</x:v>
      </x:c>
      <x:c r="M16" s="38" t="str">
        <x:v>https://patents.google.com/patent/KR100972385B1/ko</x:v>
      </x:c>
      <x:c r="N16" s="38" t="str">
        <x:v>음성 미측정 / 렌더 전</x:v>
      </x:c>
    </x:row>
    <x:row r="17" ht="154" customHeight="1">
      <x:c r="A17" s="38" t="str">
        <x:v>S12</x:v>
      </x:c>
      <x:c r="B17" s="46" t="n">
        <x:v>44</x:v>
      </x:c>
      <x:c r="C17" s="46" t="n">
        <x:v>50</x:v>
      </x:c>
      <x:c r="D17" s="47" t="n">
        <x:f>C17-B17</x:f>
        <x:v>6</x:v>
      </x:c>
      <x:c r="E17" s="47" t="n">
        <x:f>B17*Overview!$B$6</x:f>
        <x:v>1056</x:v>
      </x:c>
      <x:c r="F17" s="47" t="n">
        <x:f>C17*Overview!$B$6</x:f>
        <x:v>1200</x:v>
      </x:c>
      <x:c r="G17" s="38" t="str">
        <x:v>관련 특허에는 변형 위험과 콘크리트 포장이 이미 등장하죠.</x:v>
      </x:c>
      <x:c r="H17" s="38" t="str">
        <x:v>콘크리트 표본과 지지층의 연결을 보여준다. 영구 무변형·무보수라는 인상이나 비용 그래프 없음.</x:v>
      </x:c>
      <x:c r="I17" s="38" t="str">
        <x:v>단단한 접촉음과 주행음.</x:v>
      </x:c>
      <x:c r="J17" s="38" t="str">
        <x:v>재반전</x:v>
      </x:c>
      <x:c r="K17" s="38" t="str">
        <x:v>특정 노선의 실제 파손·측정 결과로 보이지 않게 함. 타이어·노면 접촉과 시간 압축 확인.</x:v>
      </x:c>
      <x:c r="L17" s="38" t="str">
        <x:v>F01</x:v>
      </x:c>
      <x:c r="M17" s="38" t="str">
        <x:v>https://patents.google.com/patent/KR100972385B1/ko</x:v>
      </x:c>
      <x:c r="N17" s="38" t="str">
        <x:v>음성 미측정 / 렌더 전</x:v>
      </x:c>
    </x:row>
    <x:row r="18" ht="154" customHeight="1">
      <x:c r="A18" s="38" t="str">
        <x:v>S13</x:v>
      </x:c>
      <x:c r="B18" s="46" t="n">
        <x:v>50</x:v>
      </x:c>
      <x:c r="C18" s="46" t="n">
        <x:v>54</x:v>
      </x:c>
      <x:c r="D18" s="47" t="n">
        <x:f>C18-B18</x:f>
        <x:v>4</x:v>
      </x:c>
      <x:c r="E18" s="47" t="n">
        <x:f>B18*Overview!$B$6</x:f>
        <x:v>1200</x:v>
      </x:c>
      <x:c r="F18" s="47" t="n">
        <x:f>C18*Overview!$B$6</x:f>
        <x:v>1296</x:v>
      </x:c>
      <x:c r="G18" s="38" t="str">
        <x:v>레일을 없앴다고,</x:v>
      </x:c>
      <x:c r="H18" s="38" t="str">
        <x:v>타이어 접촉부에서 굴절차량 전체와 주행로를 함께 보이는 풀아웃. 자기마커는 하중 지지 레일처럼 솟지 않음.</x:v>
      </x:c>
      <x:c r="I18" s="38" t="str">
        <x:v>지속음 낮춤.</x:v>
      </x:c>
      <x:c r="J18" s="38" t="str">
        <x:v>결론 전반</x:v>
      </x:c>
      <x:c r="K18" s="38" t="str">
        <x:v>특정 노선의 실제 파손·측정 결과로 보이지 않게 함. 타이어·노면 접촉과 시간 압축 확인.</x:v>
      </x:c>
      <x:c r="L18" s="38" t="str">
        <x:v>F02</x:v>
      </x:c>
      <x:c r="M18" s="38" t="str">
        <x:v>https://www.kric.go.kr/jsp/industry/knp/railCommonSenceDetail.jsp?p_id1=A010031131&amp;p_id2=159&amp;pageNo=6&amp;q_name=1</x:v>
      </x:c>
      <x:c r="N18" s="38" t="str">
        <x:v>음성 미측정 / 렌더 전</x:v>
      </x:c>
    </x:row>
    <x:row r="19" ht="154" customHeight="1">
      <x:c r="A19" s="38" t="str">
        <x:v>S14</x:v>
      </x:c>
      <x:c r="B19" s="46" t="n">
        <x:v>54</x:v>
      </x:c>
      <x:c r="C19" s="46" t="n">
        <x:v>58</x:v>
      </x:c>
      <x:c r="D19" s="47" t="n">
        <x:f>C19-B19</x:f>
        <x:v>4</x:v>
      </x:c>
      <x:c r="E19" s="47" t="n">
        <x:f>B19*Overview!$B$6</x:f>
        <x:v>1296</x:v>
      </x:c>
      <x:c r="F19" s="47" t="n">
        <x:f>C19*Overview!$B$6</x:f>
        <x:v>1392</x:v>
      </x:c>
      <x:c r="G19" s="38" t="str">
        <x:v>길의 설계까지 없어지는 건 아닙니다.</x:v>
      </x:c>
      <x:c r="H19" s="38" t="str">
        <x:v>차량이 빠져나간 뒤 길을 남긴다. 첫 장면과 유사한 낮은 사선 구도로 닫되 노면이 저절로 복원되는 역재생 루프는 하지 않음.</x:v>
      </x:c>
      <x:c r="I19" s="38" t="str">
        <x:v>57초 부근 발화 종료 목표. 마지막 1초 노면 환경음.</x:v>
      </x:c>
      <x:c r="J19" s="38" t="str">
        <x:v>결론</x:v>
      </x:c>
      <x:c r="K19" s="38" t="str">
        <x:v>특정 노선의 실제 파손·측정 결과로 보이지 않게 함. 타이어·노면 접촉과 시간 압축 확인.</x:v>
      </x:c>
      <x:c r="L19" s="38" t="str">
        <x:v>분석 종합</x:v>
      </x:c>
      <x:c r="M19" s="38" t="str"/>
      <x:c r="N19" s="38" t="str">
        <x:v>음성 미측정 / 렌더 전</x:v>
      </x:c>
    </x:row>
  </x:sheetData>
  <x:mergeCells>
    <x:mergeCell ref="A1:N2"/>
    <x:mergeCell ref="A3:N3"/>
  </x:mergeCells>
  <x:dataValidations count="1">
    <x:dataValidation type="list" sqref="N6:N19">
      <x:formula1>"음성 미측정 / 렌더 전,음성 실측,프리뷰 검수,수정 필요,최종 검수"</x:formula1>
    </x:dataValidation>
  </x:dataValidations>
  <x:pageMargins left="0.7" right="0.7" top="0.75" bottom="0.75" header="0.3" footer="0.3"/>
  <x:tableParts count="1">
    <x:tablePart xmlns:r="http://schemas.openxmlformats.org/officeDocument/2006/relationships" r:id="R43c30495aeef4f2b"/>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11" hidden="0" customWidth="1"/>
    <x:col min="3" max="3" width="11" hidden="0" customWidth="1"/>
    <x:col min="4" max="4" width="11" hidden="0" customWidth="1"/>
    <x:col min="5" max="5" width="15" hidden="0" customWidth="1"/>
    <x:col min="6" max="6" width="15" hidden="0" customWidth="1"/>
    <x:col min="7" max="7" width="40" hidden="0" customWidth="1"/>
    <x:col min="8" max="8" width="40" hidden="0" customWidth="1"/>
    <x:col min="9" max="9" width="30" hidden="0" customWidth="1"/>
    <x:col min="10" max="10" width="23" hidden="0" customWidth="1"/>
    <x:col min="11" max="11" width="38" hidden="0" customWidth="1"/>
    <x:col min="12" max="12" width="17" hidden="0" customWidth="1"/>
    <x:col min="13" max="13" width="40" hidden="0" customWidth="1"/>
    <x:col min="14" max="14" width="22" hidden="0" customWidth="1"/>
  </x:cols>
  <x:sheetData>
    <x:row r="1" ht="23" customHeight="1">
      <x:c r="A1" s="4" t="str">
        <x:v>LONG 10 | 레일을 없앤 버스, 도로까지 계산했을까?</x:v>
      </x:c>
      <x:c r="B1" s="4"/>
      <x:c r="C1" s="4"/>
      <x:c r="D1" s="4"/>
      <x:c r="E1" s="4"/>
      <x:c r="F1" s="4"/>
      <x:c r="G1" s="4"/>
      <x:c r="H1" s="4"/>
      <x:c r="I1" s="4"/>
      <x:c r="J1" s="4"/>
      <x:c r="K1" s="4"/>
      <x:c r="L1" s="4"/>
      <x:c r="M1" s="4"/>
      <x:c r="N1" s="4"/>
    </x:row>
    <x:row r="2" ht="23" customHeight="1">
      <x:c r="A2" s="4"/>
      <x:c r="B2" s="4"/>
      <x:c r="C2" s="4"/>
      <x:c r="D2" s="4"/>
      <x:c r="E2" s="4"/>
      <x:c r="F2" s="4"/>
      <x:c r="G2" s="4"/>
      <x:c r="H2" s="4"/>
      <x:c r="I2" s="4"/>
      <x:c r="J2" s="4"/>
      <x:c r="K2" s="4"/>
      <x:c r="L2" s="4"/>
      <x:c r="M2" s="4"/>
      <x:c r="N2" s="4"/>
    </x:row>
    <x:row r="3" ht="28" customHeight="1">
      <x:c r="A3" s="32" t="str">
        <x:v>시작·종료 초는 수정 가능 | 길이·프레임은 수식 자동 계산 | 명목 타임코드, 녹음 후 재조정 | 끝 프레임 미포함</x:v>
      </x:c>
      <x:c r="B3" s="32"/>
      <x:c r="C3" s="32"/>
      <x:c r="D3" s="32"/>
      <x:c r="E3" s="32"/>
      <x:c r="F3" s="32"/>
      <x:c r="G3" s="32"/>
      <x:c r="H3" s="32"/>
      <x:c r="I3" s="32"/>
      <x:c r="J3" s="32"/>
      <x:c r="K3" s="32"/>
      <x:c r="L3" s="32"/>
      <x:c r="M3" s="32"/>
      <x:c r="N3" s="32"/>
    </x:row>
    <x:row r="5" ht="32" customHeight="1">
      <x:c r="A5" s="14" t="str">
        <x:v>샷 ID</x:v>
      </x:c>
      <x:c r="B5" s="14" t="str">
        <x:v>시작(초)</x:v>
      </x:c>
      <x:c r="C5" s="14" t="str">
        <x:v>종료(초)</x:v>
      </x:c>
      <x:c r="D5" s="14" t="str">
        <x:v>길이(초)</x:v>
      </x:c>
      <x:c r="E5" s="14" t="str">
        <x:v>시작 F · 0기준</x:v>
      </x:c>
      <x:c r="F5" s="14" t="str">
        <x:v>종료 F · 미포함</x:v>
      </x:c>
      <x:c r="G5" s="14" t="str">
        <x:v>내레이션 V/O</x:v>
      </x:c>
      <x:c r="H5" s="14" t="str">
        <x:v>화면 · 카메라 · 상태 변화</x:v>
      </x:c>
      <x:c r="I5" s="14" t="str">
        <x:v>SFX · 음악</x:v>
      </x:c>
      <x:c r="J5" s="14" t="str">
        <x:v>역할 / 장</x:v>
      </x:c>
      <x:c r="K5" s="14" t="str">
        <x:v>검수 핵심</x:v>
      </x:c>
      <x:c r="L5" s="14" t="str">
        <x:v>근거 ID</x:v>
      </x:c>
      <x:c r="M5" s="14" t="str">
        <x:v>근거 원문 URL</x:v>
      </x:c>
      <x:c r="N5" s="14" t="str">
        <x:v>상태</x:v>
      </x:c>
    </x:row>
    <x:row r="6" ht="154" customHeight="1">
      <x:c r="A6" s="38" t="str">
        <x:v>C01</x:v>
      </x:c>
      <x:c r="B6" s="46" t="n">
        <x:v>0</x:v>
      </x:c>
      <x:c r="C6" s="46" t="n">
        <x:v>16</x:v>
      </x:c>
      <x:c r="D6" s="47" t="n">
        <x:f>C6-B6</x:f>
        <x:v>16</x:v>
      </x:c>
      <x:c r="E6" s="47" t="n">
        <x:f>B6*Overview!$B$6</x:f>
        <x:v>0</x:v>
      </x:c>
      <x:c r="F6" s="47" t="n">
        <x:f>C6*Overview!$B$6</x:f>
        <x:v>384</x:v>
      </x:c>
      <x:c r="G6" s="38" t="str">
        <x:v>이 두 줄, 레일이 아닙니다. 바퀴가 지나간 자리에 남은 홈입니다. 특정 현장을 재현한 영상은 아닙니다. 도로에 이런 자국이 생기는 원리를 확대해 보겠습니다. 무거워서라고 답할 수 있습니다.</x:v>
      </x:c>
      <x:c r="H6" s="38" t="str">
        <x:v>한 바퀴가 프레임 밖으로 나가도 카메라는 도로의 두 주행대에 남는다. 동일 개념 도로를 옆광으로 따라가며 얕은 홈을 드러낸다.</x:v>
      </x:c>
      <x:c r="I6" s="38" t="str">
        <x:v>타이어 통과 → 노면 환경음</x:v>
      </x:c>
      <x:c r="J6" s="38" t="str">
        <x:v>L01 · 도로가 기억하는 것</x:v>
      </x:c>
      <x:c r="K6" s="38" t="str">
        <x:v>사건이 아니라 원리 재현임을 첫 단락에서 명시. 실재 도시 표지 없음.</x:v>
      </x:c>
      <x:c r="L6" s="38" t="str">
        <x:v>F05; F09</x:v>
      </x:c>
      <x:c r="M6" s="38" t="str">
        <x:v>https://www.fhwa.dot.gov/publications/research/operations/21015/21015.pdf
https://mavmatrix.uta.edu/civilengineering_dissertations/417/</x:v>
      </x:c>
      <x:c r="N6" s="38" t="str">
        <x:v>음성 미측정 / 렌더 전</x:v>
      </x:c>
    </x:row>
    <x:row r="7" ht="154" customHeight="1">
      <x:c r="A7" s="38" t="str">
        <x:v>C02</x:v>
      </x:c>
      <x:c r="B7" s="46" t="n">
        <x:v>16</x:v>
      </x:c>
      <x:c r="C7" s="46" t="n">
        <x:v>31</x:v>
      </x:c>
      <x:c r="D7" s="47" t="n">
        <x:f>C7-B7</x:f>
        <x:v>15</x:v>
      </x:c>
      <x:c r="E7" s="47" t="n">
        <x:f>B7*Overview!$B$6</x:f>
        <x:v>384</x:v>
      </x:c>
      <x:c r="F7" s="47" t="n">
        <x:f>C7*Overview!$B$6</x:f>
        <x:v>744</x:v>
      </x:c>
      <x:c r="G7" s="38" t="str">
        <x:v>하지만 오늘은 무게를 그대로 두고, 딱 하나만 바꿔보겠습니다. 바퀴가 밟는 자리입니다. 매번 조금씩 다른 곳을 밟는 차와, 거의 같은 곳을 되풀이해 밟는 차. 도로에 남는 결과도 같을까요?</x:v>
      </x:c>
      <x:c r="H7" s="38" t="str">
        <x:v>도로 표본과 동일 차량을 완전한 형상으로 공개. 차체가 지나간 뒤 관찰 위치만 위로 전환한다.</x:v>
      </x:c>
      <x:c r="I7" s="38" t="str">
        <x:v>짧은 저역 펄스 1회</x:v>
      </x:c>
      <x:c r="J7" s="38" t="str">
        <x:v>L01 · 도로가 기억하는 것</x:v>
      </x:c>
      <x:c r="K7" s="38" t="str">
        <x:v>무게를 바꾸지 않는다는 대사에 차량 크기·적재 모습 유지.</x:v>
      </x:c>
      <x:c r="L7" s="38" t="str">
        <x:v>F05; F09</x:v>
      </x:c>
      <x:c r="M7" s="38" t="str">
        <x:v>https://www.fhwa.dot.gov/publications/research/operations/21015/21015.pdf
https://mavmatrix.uta.edu/civilengineering_dissertations/417/</x:v>
      </x:c>
      <x:c r="N7" s="38" t="str">
        <x:v>음성 미측정 / 렌더 전</x:v>
      </x:c>
    </x:row>
    <x:row r="8" ht="154" customHeight="1">
      <x:c r="A8" s="38" t="str">
        <x:v>C03</x:v>
      </x:c>
      <x:c r="B8" s="46" t="n">
        <x:v>31</x:v>
      </x:c>
      <x:c r="C8" s="46" t="n">
        <x:v>45</x:v>
      </x:c>
      <x:c r="D8" s="47" t="n">
        <x:f>C8-B8</x:f>
        <x:v>14</x:v>
      </x:c>
      <x:c r="E8" s="47" t="n">
        <x:f>B8*Overview!$B$6</x:f>
        <x:v>744</x:v>
      </x:c>
      <x:c r="F8" s="47" t="n">
        <x:f>C8*Overview!$B$6</x:f>
        <x:v>1080</x:v>
      </x:c>
      <x:c r="G8" s="38" t="str">
        <x:v>자석을 읽고 길을 따라가는 바이모달 트램은 이 질문을 이해하기 좋은 사례입니다. 차를 정확하게 움직이는 기술과, 길을 오래 버티게 하는 기술이 여기서 만납니다.</x:v>
      </x:c>
      <x:c r="H8" s="38" t="str">
        <x:v>같은 카메라에서 두 조건을 순차 매치컷. 통과 위치만 다르고 도로·속도·바퀴는 같다.</x:v>
      </x:c>
      <x:c r="I8" s="38" t="str">
        <x:v>같은 주행음 재사용</x:v>
      </x:c>
      <x:c r="J8" s="38" t="str">
        <x:v>L01 · 도로가 기억하는 것</x:v>
      </x:c>
      <x:c r="K8" s="38" t="str">
        <x:v>분할화면 없이 전후 비교. 실제 수치 시험으로 표기하지 않음.</x:v>
      </x:c>
      <x:c r="L8" s="38" t="str">
        <x:v>F05; F09</x:v>
      </x:c>
      <x:c r="M8" s="38" t="str">
        <x:v>https://www.fhwa.dot.gov/publications/research/operations/21015/21015.pdf
https://mavmatrix.uta.edu/civilengineering_dissertations/417/</x:v>
      </x:c>
      <x:c r="N8" s="38" t="str">
        <x:v>음성 미측정 / 렌더 전</x:v>
      </x:c>
    </x:row>
    <x:row r="9" ht="154" customHeight="1">
      <x:c r="A9" s="38" t="str">
        <x:v>C04</x:v>
      </x:c>
      <x:c r="B9" s="46" t="n">
        <x:v>45</x:v>
      </x:c>
      <x:c r="C9" s="46" t="n">
        <x:v>55</x:v>
      </x:c>
      <x:c r="D9" s="47" t="n">
        <x:f>C9-B9</x:f>
        <x:v>10</x:v>
      </x:c>
      <x:c r="E9" s="47" t="n">
        <x:f>B9*Overview!$B$6</x:f>
        <x:v>1080</x:v>
      </x:c>
      <x:c r="F9" s="47" t="n">
        <x:f>C9*Overview!$B$6</x:f>
        <x:v>1320</x:v>
      </x:c>
      <x:c r="G9" s="38" t="str">
        <x:v>그런데 이 이야기를 곧바로, 너무 완벽해서 망한 기계라고 결론 내려도 될까요? 그 전에 차가 지나간 자리를 먼저 보겠습니다.</x:v>
      </x:c>
      <x:c r="H9" s="38" t="str">
        <x:v>센서 아래 도로를 따라 접근하다가 타이어 접촉 위치에서 멈춘다.</x:v>
      </x:c>
      <x:c r="I9" s="38" t="str">
        <x:v>음악을 낮추고 접촉음 전면</x:v>
      </x:c>
      <x:c r="J9" s="38" t="str">
        <x:v>L01 · 도로가 기억하는 것</x:v>
      </x:c>
      <x:c r="K9" s="38" t="str">
        <x:v>미스터리의 대상은 고장 원인이 아니라 차량과 포장의 관계.</x:v>
      </x:c>
      <x:c r="L9" s="38" t="str">
        <x:v>F05; F09</x:v>
      </x:c>
      <x:c r="M9" s="38" t="str">
        <x:v>https://www.fhwa.dot.gov/publications/research/operations/21015/21015.pdf
https://mavmatrix.uta.edu/civilengineering_dissertations/417/</x:v>
      </x:c>
      <x:c r="N9" s="38" t="str">
        <x:v>음성 미측정 / 렌더 전</x:v>
      </x:c>
    </x:row>
    <x:row r="10" ht="154" customHeight="1">
      <x:c r="A10" s="38" t="str">
        <x:v>C05</x:v>
      </x:c>
      <x:c r="B10" s="46" t="n">
        <x:v>55</x:v>
      </x:c>
      <x:c r="C10" s="46" t="n">
        <x:v>69</x:v>
      </x:c>
      <x:c r="D10" s="47" t="n">
        <x:f>C10-B10</x:f>
        <x:v>14</x:v>
      </x:c>
      <x:c r="E10" s="47" t="n">
        <x:f>B10*Overview!$B$6</x:f>
        <x:v>1320</x:v>
      </x:c>
      <x:c r="F10" s="47" t="n">
        <x:f>C10*Overview!$B$6</x:f>
        <x:v>1656</x:v>
      </x:c>
      <x:c r="G10" s="38" t="str">
        <x:v>겉모습은 길게 이어진 버스입니다. 고무 타이어로 달리고, 차체 중간에는 굴절부가 있습니다. 여기에 도로 아래의 자석과, 그것을 읽는 센서가 더해집니다.</x:v>
      </x:c>
      <x:c r="H10" s="38" t="str">
        <x:v>무채색 굴절차량 전체를 3/4 측면으로 보여주고 앞·중간·뒤 축의 위치를 관찰한다.</x:v>
      </x:c>
      <x:c r="I10" s="38" t="str">
        <x:v>굴절 버스 주행 앰비언스</x:v>
      </x:c>
      <x:c r="J10" s="38" t="str">
        <x:v>L02 · 자석은 길을 알려줄 뿐</x:v>
      </x:c>
      <x:c r="K10" s="38" t="str">
        <x:v>실제 선택 차량 외형·축 배치 레퍼런스 먼저 잠금. 축별 조향비는 임의 생성 금지.</x:v>
      </x:c>
      <x:c r="L10" s="38" t="str">
        <x:v>F01; F02</x:v>
      </x:c>
      <x:c r="M10" s="38" t="str">
        <x:v>https://patents.google.com/patent/KR100972385B1/ko
https://www.kric.go.kr/jsp/industry/knp/railCommonSenceDetail.jsp?p_id1=A010031131&amp;p_id2=159&amp;pageNo=6&amp;q_name=1</x:v>
      </x:c>
      <x:c r="N10" s="38" t="str">
        <x:v>음성 미측정 / 렌더 전</x:v>
      </x:c>
    </x:row>
    <x:row r="11" ht="154" customHeight="1">
      <x:c r="A11" s="38" t="str">
        <x:v>C06</x:v>
      </x:c>
      <x:c r="B11" s="46" t="n">
        <x:v>69</x:v>
      </x:c>
      <x:c r="C11" s="46" t="n">
        <x:v>83</x:v>
      </x:c>
      <x:c r="D11" s="47" t="n">
        <x:f>C11-B11</x:f>
        <x:v>14</x:v>
      </x:c>
      <x:c r="E11" s="47" t="n">
        <x:f>B11*Overview!$B$6</x:f>
        <x:v>1656</x:v>
      </x:c>
      <x:c r="F11" s="47" t="n">
        <x:f>C11*Overview!$B$6</x:f>
        <x:v>1992</x:v>
      </x:c>
      <x:c r="G11" s="38" t="str">
        <x:v>자석은 차를 끌어당기는 장치가 아닙니다. 차량이 자신의 위치를 파악하는 기준입니다. 센서가 자기장을 읽으면, 제어장치가 목표 경로에 맞춰 조향을 조절합니다.</x:v>
      </x:c>
      <x:c r="H11" s="38" t="str">
        <x:v>노면 위의 센서와 아래 매립 마커를 절개면으로 보여준다. 두 부품은 접촉하지 않는다.</x:v>
      </x:c>
      <x:c r="I11" s="38" t="str">
        <x:v>물리 주행음만 사용</x:v>
      </x:c>
      <x:c r="J11" s="38" t="str">
        <x:v>L02 · 자석은 길을 알려줄 뿐</x:v>
      </x:c>
      <x:c r="K11" s="38" t="str">
        <x:v>마커는 위치 기준. 레이저·빛나는 에너지 선·자기 흡인 금지.</x:v>
      </x:c>
      <x:c r="L11" s="38" t="str">
        <x:v>F01; F02</x:v>
      </x:c>
      <x:c r="M11" s="38" t="str">
        <x:v>https://patents.google.com/patent/KR100972385B1/ko
https://www.kric.go.kr/jsp/industry/knp/railCommonSenceDetail.jsp?p_id1=A010031131&amp;p_id2=159&amp;pageNo=6&amp;q_name=1</x:v>
      </x:c>
      <x:c r="N11" s="38" t="str">
        <x:v>음성 미측정 / 렌더 전</x:v>
      </x:c>
    </x:row>
    <x:row r="12" ht="154" customHeight="1">
      <x:c r="A12" s="38" t="str">
        <x:v>C07</x:v>
      </x:c>
      <x:c r="B12" s="46" t="n">
        <x:v>83</x:v>
      </x:c>
      <x:c r="C12" s="46" t="n">
        <x:v>99</x:v>
      </x:c>
      <x:c r="D12" s="47" t="n">
        <x:f>C12-B12</x:f>
        <x:v>16</x:v>
      </x:c>
      <x:c r="E12" s="47" t="n">
        <x:f>B12*Overview!$B$6</x:f>
        <x:v>1992</x:v>
      </x:c>
      <x:c r="F12" s="47" t="n">
        <x:f>C12*Overview!$B$6</x:f>
        <x:v>2376</x:v>
      </x:c>
      <x:c r="G12" s="38" t="str">
        <x:v>여기서 두 역할을 나눠 보죠. 자석과 센서는 어디로 갈지를 알려줍니다. 타이어와 도로는 차량의 무게를 받아냅니다. 레일이 없다는 말은, 무게를 받칠 시설이 필요 없다는 뜻이 아닙니다.</x:v>
      </x:c>
      <x:c r="H12" s="38" t="str">
        <x:v>센서에서 타이어로 카메라 이동. 같은 차량 안에서 유도 부품과 접촉 부품의 역할을 순서대로 공개한다.</x:v>
      </x:c>
      <x:c r="I12" s="38" t="str">
        <x:v>가벼운 전환 폴리</x:v>
      </x:c>
      <x:c r="J12" s="38" t="str">
        <x:v>L02 · 자석은 길을 알려줄 뿐</x:v>
      </x:c>
      <x:c r="K12" s="38" t="str">
        <x:v>하부 부품이 순간이동·삭제되지 않음.</x:v>
      </x:c>
      <x:c r="L12" s="38" t="str">
        <x:v>F01; F02</x:v>
      </x:c>
      <x:c r="M12" s="38" t="str">
        <x:v>https://patents.google.com/patent/KR100972385B1/ko
https://www.kric.go.kr/jsp/industry/knp/railCommonSenceDetail.jsp?p_id1=A010031131&amp;p_id2=159&amp;pageNo=6&amp;q_name=1</x:v>
      </x:c>
      <x:c r="N12" s="38" t="str">
        <x:v>음성 미측정 / 렌더 전</x:v>
      </x:c>
    </x:row>
    <x:row r="13" ht="154" customHeight="1">
      <x:c r="A13" s="38" t="str">
        <x:v>C08</x:v>
      </x:c>
      <x:c r="B13" s="46" t="n">
        <x:v>99</x:v>
      </x:c>
      <x:c r="C13" s="46" t="n">
        <x:v>110</x:v>
      </x:c>
      <x:c r="D13" s="47" t="n">
        <x:f>C13-B13</x:f>
        <x:v>11</x:v>
      </x:c>
      <x:c r="E13" s="47" t="n">
        <x:f>B13*Overview!$B$6</x:f>
        <x:v>2376</x:v>
      </x:c>
      <x:c r="F13" s="47" t="n">
        <x:f>C13*Overview!$B$6</x:f>
        <x:v>2640</x:v>
      </x:c>
      <x:c r="G13" s="38" t="str">
        <x:v>그 역할을 도로가 맡는다는 뜻에 가깝습니다. 그렇다면 차가 같은 경로를 되풀이할 때, 바닥에서는 무엇이 달라질까요?</x:v>
      </x:c>
      <x:c r="H13" s="38" t="str">
        <x:v>바퀴를 지면과 연결해 보여준 뒤 도로의 지지층까지 내려간다.</x:v>
      </x:c>
      <x:c r="I13" s="38" t="str">
        <x:v>낮은 지속음</x:v>
      </x:c>
      <x:c r="J13" s="38" t="str">
        <x:v>L02 · 자석은 길을 알려줄 뿐</x:v>
      </x:c>
      <x:c r="K13" s="38" t="str">
        <x:v>레일이 없음을 지지층이 필요 없음으로 시각화하지 않음.</x:v>
      </x:c>
      <x:c r="L13" s="38" t="str">
        <x:v>F01; F02</x:v>
      </x:c>
      <x:c r="M13" s="38" t="str">
        <x:v>https://patents.google.com/patent/KR100972385B1/ko
https://www.kric.go.kr/jsp/industry/knp/railCommonSenceDetail.jsp?p_id1=A010031131&amp;p_id2=159&amp;pageNo=6&amp;q_name=1</x:v>
      </x:c>
      <x:c r="N13" s="38" t="str">
        <x:v>음성 미측정 / 렌더 전</x:v>
      </x:c>
    </x:row>
    <x:row r="14" ht="154" customHeight="1">
      <x:c r="A14" s="38" t="str">
        <x:v>C09</x:v>
      </x:c>
      <x:c r="B14" s="46" t="n">
        <x:v>110</x:v>
      </x:c>
      <x:c r="C14" s="46" t="n">
        <x:v>124</x:v>
      </x:c>
      <x:c r="D14" s="47" t="n">
        <x:f>C14-B14</x:f>
        <x:v>14</x:v>
      </x:c>
      <x:c r="E14" s="47" t="n">
        <x:f>B14*Overview!$B$6</x:f>
        <x:v>2640</x:v>
      </x:c>
      <x:c r="F14" s="47" t="n">
        <x:f>C14*Overview!$B$6</x:f>
        <x:v>2976</x:v>
      </x:c>
      <x:c r="G14" s="38" t="str">
        <x:v>도로를 잘라 안쪽을 보겠습니다. 검은 포장 안에는 크고 작은 돌 알갱이가 빽빽하게 들어 있습니다. 이 골재와, 사이를 붙잡는 아스팔트 바인더가 함께 하중을 견딥니다.</x:v>
      </x:c>
      <x:c r="H14" s="38" t="str">
        <x:v>타이어 접촉점 → 횡단 절개면 → 골재 매크로. 카메라는 고정된 돌 틈을 지나간다.</x:v>
      </x:c>
      <x:c r="I14" s="38" t="str">
        <x:v>작은 골재 접촉 폴리</x:v>
      </x:c>
      <x:c r="J14" s="38" t="str">
        <x:v>L03 · 지나간 뒤에도 남는 눌림</x:v>
      </x:c>
      <x:c r="K14" s="38" t="str">
        <x:v>골재가 젤리처럼 찌그러지지 않음. 절개면은 설명용.</x:v>
      </x:c>
      <x:c r="L14" s="38" t="str">
        <x:v>F07</x:v>
      </x:c>
      <x:c r="M14" s="38" t="str">
        <x:v>https://link.springer.com/article/10.1186/s43065-023-00082-9</x:v>
      </x:c>
      <x:c r="N14" s="38" t="str">
        <x:v>음성 미측정 / 렌더 전</x:v>
      </x:c>
    </x:row>
    <x:row r="15" ht="154" customHeight="1">
      <x:c r="A15" s="38" t="str">
        <x:v>C10</x:v>
      </x:c>
      <x:c r="B15" s="46" t="n">
        <x:v>124</x:v>
      </x:c>
      <x:c r="C15" s="46" t="n">
        <x:v>138</x:v>
      </x:c>
      <x:c r="D15" s="47" t="n">
        <x:f>C15-B15</x:f>
        <x:v>14</x:v>
      </x:c>
      <x:c r="E15" s="47" t="n">
        <x:f>B15*Overview!$B$6</x:f>
        <x:v>2976</x:v>
      </x:c>
      <x:c r="F15" s="47" t="n">
        <x:f>C15*Overview!$B$6</x:f>
        <x:v>3312</x:v>
      </x:c>
      <x:c r="G15" s="38" t="str">
        <x:v>전체가 검은 액체처럼 흐르는 구조는 아닙니다. 그렇다고 어떤 조건에서도 모양이 전혀 바뀌지 않는 덩어리도 아닙니다. 바퀴가 누르면 포장에 변형이 생깁니다.</x:v>
      </x:c>
      <x:c r="H15" s="38" t="str">
        <x:v>골재 형상은 유지하고 바인더·접촉망의 작은 변화만 단계적으로 제시.</x:v>
      </x:c>
      <x:c r="I15" s="38" t="str">
        <x:v>정적에 가까운 재질음</x:v>
      </x:c>
      <x:c r="J15" s="38" t="str">
        <x:v>L03 · 지나간 뒤에도 남는 눌림</x:v>
      </x:c>
      <x:c r="K15" s="38" t="str">
        <x:v>재료 특성 정량 시뮬레이션으로 사칭 금지.</x:v>
      </x:c>
      <x:c r="L15" s="38" t="str">
        <x:v>F07</x:v>
      </x:c>
      <x:c r="M15" s="38" t="str">
        <x:v>https://link.springer.com/article/10.1186/s43065-023-00082-9</x:v>
      </x:c>
      <x:c r="N15" s="38" t="str">
        <x:v>음성 미측정 / 렌더 전</x:v>
      </x:c>
    </x:row>
    <x:row r="16" ht="154" customHeight="1">
      <x:c r="A16" s="38" t="str">
        <x:v>C11</x:v>
      </x:c>
      <x:c r="B16" s="46" t="n">
        <x:v>138</x:v>
      </x:c>
      <x:c r="C16" s="46" t="n">
        <x:v>150</x:v>
      </x:c>
      <x:c r="D16" s="47" t="n">
        <x:f>C16-B16</x:f>
        <x:v>12</x:v>
      </x:c>
      <x:c r="E16" s="47" t="n">
        <x:f>B16*Overview!$B$6</x:f>
        <x:v>3312</x:v>
      </x:c>
      <x:c r="F16" s="47" t="n">
        <x:f>C16*Overview!$B$6</x:f>
        <x:v>3600</x:v>
      </x:c>
      <x:c r="G16" s="38" t="str">
        <x:v>바퀴가 떠난 뒤 회복되는 부분도 있지만, 조건에 따라 돌아오지 않는 변형도 남을 수 있습니다. 중요한 순간은 바퀴가 누를 때가 아니라, 떠난 다음입니다.</x:v>
      </x:c>
      <x:c r="H16" s="38" t="str">
        <x:v>동일 타이어가 표본을 누른 뒤 떠난다. 원래 위치와 잔류 형태를 동일 구도 매치컷으로 비교.</x:v>
      </x:c>
      <x:c r="I16" s="38" t="str">
        <x:v>접촉음 후 음악 드롭</x:v>
      </x:c>
      <x:c r="J16" s="38" t="str">
        <x:v>L03 · 지나간 뒤에도 남는 눌림</x:v>
      </x:c>
      <x:c r="K16" s="38" t="str">
        <x:v>총중량이 한 접촉면에 작용하는 추 표현 금지.</x:v>
      </x:c>
      <x:c r="L16" s="38" t="str">
        <x:v>F07</x:v>
      </x:c>
      <x:c r="M16" s="38" t="str">
        <x:v>https://link.springer.com/article/10.1186/s43065-023-00082-9</x:v>
      </x:c>
      <x:c r="N16" s="38" t="str">
        <x:v>음성 미측정 / 렌더 전</x:v>
      </x:c>
    </x:row>
    <x:row r="17" ht="154" customHeight="1">
      <x:c r="A17" s="38" t="str">
        <x:v>C12</x:v>
      </x:c>
      <x:c r="B17" s="46" t="n">
        <x:v>150</x:v>
      </x:c>
      <x:c r="C17" s="46" t="n">
        <x:v>165</x:v>
      </x:c>
      <x:c r="D17" s="47" t="n">
        <x:f>C17-B17</x:f>
        <x:v>15</x:v>
      </x:c>
      <x:c r="E17" s="47" t="n">
        <x:f>B17*Overview!$B$6</x:f>
        <x:v>3600</x:v>
      </x:c>
      <x:c r="F17" s="47" t="n">
        <x:f>C17*Overview!$B$6</x:f>
        <x:v>3960</x:v>
      </x:c>
      <x:c r="G17" s="38" t="str">
        <x:v>방금 눌린 자리가 원래 높이로 모두 돌아왔는지 보세요. 한 번의 차이는 작아 보입니다. 하지만 다음 차가 바로 그 위를 밟으면, 이미 달라진 상태의 포장이 다시 하중을 받습니다.</x:v>
      </x:c>
      <x:c r="H17" s="38" t="str">
        <x:v>카메라는 바퀴를 쫓지 않고 절개면에 남아 부분 회복과 잔류변형을 보여준다. 다음 통과 진입.</x:v>
      </x:c>
      <x:c r="I17" s="38" t="str">
        <x:v>0.5–0.8초 쉼 후 다음 굴림음</x:v>
      </x:c>
      <x:c r="J17" s="38" t="str">
        <x:v>L03 · 지나간 뒤에도 남는 눌림</x:v>
      </x:c>
      <x:c r="K17" s="38" t="str">
        <x:v>하중 제거 뒤 남는 변형을 충분히 식별.</x:v>
      </x:c>
      <x:c r="L17" s="38" t="str">
        <x:v>F07</x:v>
      </x:c>
      <x:c r="M17" s="38" t="str">
        <x:v>https://link.springer.com/article/10.1186/s43065-023-00082-9</x:v>
      </x:c>
      <x:c r="N17" s="38" t="str">
        <x:v>음성 미측정 / 렌더 전</x:v>
      </x:c>
    </x:row>
    <x:row r="18" ht="154" customHeight="1">
      <x:c r="A18" s="38" t="str">
        <x:v>C13</x:v>
      </x:c>
      <x:c r="B18" s="46" t="n">
        <x:v>165</x:v>
      </x:c>
      <x:c r="C18" s="46" t="n">
        <x:v>179</x:v>
      </x:c>
      <x:c r="D18" s="47" t="n">
        <x:f>C18-B18</x:f>
        <x:v>14</x:v>
      </x:c>
      <x:c r="E18" s="47" t="n">
        <x:f>B18*Overview!$B$6</x:f>
        <x:v>3960</x:v>
      </x:c>
      <x:c r="F18" s="47" t="n">
        <x:f>C18*Overview!$B$6</x:f>
        <x:v>4296</x:v>
      </x:c>
      <x:c r="G18" s="38" t="str">
        <x:v>이제 두 조건을 비교하겠습니다. 차량의 무게, 타이어, 속도, 통과 횟수와 도로 재료는 같게 둡니다. 바꾸는 것은 통과할 때마다 바퀴가 놓이는 좌우 위치뿐입니다.</x:v>
      </x:c>
      <x:c r="H18" s="38" t="str">
        <x:v>동일 차량·포장·속도 표본을 반복 제시. 바뀌는 조건은 다음 통과의 좌우 위치 하나다.</x:v>
      </x:c>
      <x:c r="I18" s="38" t="str">
        <x:v>동일한 접촉음 레벨</x:v>
      </x:c>
      <x:c r="J18" s="38" t="str">
        <x:v>L04 · 무게가 아니라 자리만 바꾼다</x:v>
      </x:c>
      <x:c r="K18" s="38" t="str">
        <x:v>두 조건에 차체 중량·타이어·통과 횟수·재료 동일.</x:v>
      </x:c>
      <x:c r="L18" s="38" t="str">
        <x:v>F05; F09</x:v>
      </x:c>
      <x:c r="M18" s="38" t="str">
        <x:v>https://www.fhwa.dot.gov/publications/research/operations/21015/21015.pdf
https://mavmatrix.uta.edu/civilengineering_dissertations/417/</x:v>
      </x:c>
      <x:c r="N18" s="38" t="str">
        <x:v>음성 미측정 / 렌더 전</x:v>
      </x:c>
    </x:row>
    <x:row r="19" ht="154" customHeight="1">
      <x:c r="A19" s="38" t="str">
        <x:v>C14</x:v>
      </x:c>
      <x:c r="B19" s="46" t="n">
        <x:v>179</x:v>
      </x:c>
      <x:c r="C19" s="46" t="n">
        <x:v>196</x:v>
      </x:c>
      <x:c r="D19" s="47" t="n">
        <x:f>C19-B19</x:f>
        <x:v>17</x:v>
      </x:c>
      <x:c r="E19" s="47" t="n">
        <x:f>B19*Overview!$B$6</x:f>
        <x:v>4296</x:v>
      </x:c>
      <x:c r="F19" s="47" t="n">
        <x:f>C19*Overview!$B$6</x:f>
        <x:v>4704</x:v>
      </x:c>
      <x:c r="G19" s="38" t="str">
        <x:v>첫 번째는 여러 차량의 주행 위치가 조금씩 다른 경우입니다. 같은 차선을 달려도, 모든 바퀴가 똑같은 띠만 누르는 것은 아닙니다. 이런 횡방향 위치 분산을 휠 원더링이라고 부릅니다.</x:v>
      </x:c>
      <x:c r="H19" s="38" t="str">
        <x:v>탑뷰 고정. 각각 다른 통과를 차체 가림으로 연결하고 주행 흔적의 위치만 소폭 달라진다.</x:v>
      </x:c>
      <x:c r="I19" s="38" t="str">
        <x:v>통과별 분리된 펄스</x:v>
      </x:c>
      <x:c r="J19" s="38" t="str">
        <x:v>L04 · 무게가 아니라 자리만 바꾼다</x:v>
      </x:c>
      <x:c r="K19" s="38" t="str">
        <x:v>한 대가 주행 중 좌우 지그재그로 움직이지 않음.</x:v>
      </x:c>
      <x:c r="L19" s="38" t="str">
        <x:v>F05; F09</x:v>
      </x:c>
      <x:c r="M19" s="38" t="str">
        <x:v>https://www.fhwa.dot.gov/publications/research/operations/21015/21015.pdf
https://mavmatrix.uta.edu/civilengineering_dissertations/417/</x:v>
      </x:c>
      <x:c r="N19" s="38" t="str">
        <x:v>음성 미측정 / 렌더 전</x:v>
      </x:c>
    </x:row>
    <x:row r="20" ht="154" customHeight="1">
      <x:c r="A20" s="38" t="str">
        <x:v>C15</x:v>
      </x:c>
      <x:c r="B20" s="46" t="n">
        <x:v>196</x:v>
      </x:c>
      <x:c r="C20" s="46" t="n">
        <x:v>212</x:v>
      </x:c>
      <x:c r="D20" s="47" t="n">
        <x:f>C20-B20</x:f>
        <x:v>16</x:v>
      </x:c>
      <x:c r="E20" s="47" t="n">
        <x:f>B20*Overview!$B$6</x:f>
        <x:v>4704</x:v>
      </x:c>
      <x:c r="F20" s="47" t="n">
        <x:f>C20*Overview!$B$6</x:f>
        <x:v>5088</x:v>
      </x:c>
      <x:c r="G20" s="38" t="str">
        <x:v>운전자가 일부러 핸들을 흔든다는 뜻은 아닙니다. 차선 전체에 무게가 고르게 퍼진다는 뜻도 아닙니다. 두 번째는 통과할 때마다 바퀴 자국이 더 좁은 범위에 겹치는 경우입니다.</x:v>
      </x:c>
      <x:c r="H20" s="38" t="str">
        <x:v>두 번째 조건은 같은 폭의 주행대에 통과 흔적이 더 겹친다. 첫 조건과 동일 시점으로 매치컷.</x:v>
      </x:c>
      <x:c r="I20" s="38" t="str">
        <x:v>같은 횟수·같은 세기의 펄스</x:v>
      </x:c>
      <x:c r="J20" s="38" t="str">
        <x:v>L04 · 무게가 아니라 자리만 바꾼다</x:v>
      </x:c>
      <x:c r="K20" s="38" t="str">
        <x:v>차선 전체 균등 분산 또는 완전 무오차라는 인상 금지.</x:v>
      </x:c>
      <x:c r="L20" s="38" t="str">
        <x:v>F05; F09</x:v>
      </x:c>
      <x:c r="M20" s="38" t="str">
        <x:v>https://www.fhwa.dot.gov/publications/research/operations/21015/21015.pdf
https://mavmatrix.uta.edu/civilengineering_dissertations/417/</x:v>
      </x:c>
      <x:c r="N20" s="38" t="str">
        <x:v>음성 미측정 / 렌더 전</x:v>
      </x:c>
    </x:row>
    <x:row r="21" ht="154" customHeight="1">
      <x:c r="A21" s="38" t="str">
        <x:v>C16</x:v>
      </x:c>
      <x:c r="B21" s="46" t="n">
        <x:v>212</x:v>
      </x:c>
      <x:c r="C21" s="46" t="n">
        <x:v>225</x:v>
      </x:c>
      <x:c r="D21" s="47" t="n">
        <x:f>C21-B21</x:f>
        <x:v>13</x:v>
      </x:c>
      <x:c r="E21" s="47" t="n">
        <x:f>B21*Overview!$B$6</x:f>
        <x:v>5088</x:v>
      </x:c>
      <x:c r="F21" s="47" t="n">
        <x:f>C21*Overview!$B$6</x:f>
        <x:v>5400</x:v>
      </x:c>
      <x:c r="G21" s="38" t="str">
        <x:v>전체 통과 횟수는 같아도, 특정 위치가 눌리는 횟수는 더 많아집니다. 차가 한 번 누르는 힘이 갑자기 세진 게 아닙니다. 같은 곳을 더 자주 누르는 겁니다.</x:v>
      </x:c>
      <x:c r="H21" s="38" t="str">
        <x:v>같은 한 지점의 반복 접촉을 매크로로 추적하고, 높이 변화가 남는 상태로 닫는다.</x:v>
      </x:c>
      <x:c r="I21" s="38" t="str">
        <x:v>음량을 키우지 않고 리듬만 반복</x:v>
      </x:c>
      <x:c r="J21" s="38" t="str">
        <x:v>L04 · 무게가 아니라 자리만 바꾼다</x:v>
      </x:c>
      <x:c r="K21" s="38" t="str">
        <x:v>힘이 커지는 표현 대신 반복 위치와 누적 횟수를 구분.</x:v>
      </x:c>
      <x:c r="L21" s="38" t="str">
        <x:v>F05; F09</x:v>
      </x:c>
      <x:c r="M21" s="38" t="str">
        <x:v>https://www.fhwa.dot.gov/publications/research/operations/21015/21015.pdf
https://mavmatrix.uta.edu/civilengineering_dissertations/417/</x:v>
      </x:c>
      <x:c r="N21" s="38" t="str">
        <x:v>음성 미측정 / 렌더 전</x:v>
      </x:c>
    </x:row>
    <x:row r="22" ht="154" customHeight="1">
      <x:c r="A22" s="38" t="str">
        <x:v>C17</x:v>
      </x:c>
      <x:c r="B22" s="46" t="n">
        <x:v>225</x:v>
      </x:c>
      <x:c r="C22" s="46" t="n">
        <x:v>243</x:v>
      </x:c>
      <x:c r="D22" s="47" t="n">
        <x:f>C22-B22</x:f>
        <x:v>18</x:v>
      </x:c>
      <x:c r="E22" s="47" t="n">
        <x:f>B22*Overview!$B$6</x:f>
        <x:v>5400</x:v>
      </x:c>
      <x:c r="F22" s="47" t="n">
        <x:f>C22*Overview!$B$6</x:f>
        <x:v>5832</x:v>
      </x:c>
      <x:c r="G22" s="38" t="str">
        <x:v>반복해서 눌린 자리에 영구 변형이 쌓이면, 바퀴가 지나가는 방향으로 길게 홈이 나타날 수 있습니다. 바퀴 자국을 따라 생기는 소성변형입니다. 이걸 칼로 도로를 깎는 장면처럼 그리면 원리가 달라집니다.</x:v>
      </x:c>
      <x:c r="H22" s="38" t="str">
        <x:v>동일 횡단면에서 여러 통과를 시간 압축해 보여준 후 길게 이어진 두 주행대 공개.</x:v>
      </x:c>
      <x:c r="I22" s="38" t="str">
        <x:v>느린 통과를 짧게 반복</x:v>
      </x:c>
      <x:c r="J22" s="38" t="str">
        <x:v>L05 · 홈은 한 번에 생기지 않는다</x:v>
      </x:c>
      <x:c r="K22" s="38" t="str">
        <x:v>기간·반복 수·깊이 실측치 표시 없음. 특정 도시의 재현이 아님.</x:v>
      </x:c>
      <x:c r="L22" s="38" t="str">
        <x:v>F06; F07; F08</x:v>
      </x:c>
      <x:c r="M22" s="38" t="str">
        <x:v>https://www.fhwa.dot.gov/publications/research/infrastructure/pavements/11045/003.cfm
https://link.springer.com/article/10.1186/s43065-023-00082-9
https://www.kci.go.kr/kciportal/ci/sereArticleSearch/ciSereArtiView.kci?sereArticleSearchBean.artiId=ART001685955</x:v>
      </x:c>
      <x:c r="N22" s="38" t="str">
        <x:v>음성 미측정 / 렌더 전</x:v>
      </x:c>
    </x:row>
    <x:row r="23" ht="154" customHeight="1">
      <x:c r="A23" s="38" t="str">
        <x:v>C18</x:v>
      </x:c>
      <x:c r="B23" s="46" t="n">
        <x:v>243</x:v>
      </x:c>
      <x:c r="C23" s="46" t="n">
        <x:v>259</x:v>
      </x:c>
      <x:c r="D23" s="47" t="n">
        <x:f>C23-B23</x:f>
        <x:v>16</x:v>
      </x:c>
      <x:c r="E23" s="47" t="n">
        <x:f>B23*Overview!$B$6</x:f>
        <x:v>5832</x:v>
      </x:c>
      <x:c r="F23" s="47" t="n">
        <x:f>C23*Overview!$B$6</x:f>
        <x:v>6216</x:v>
      </x:c>
      <x:c r="G23" s="38" t="str">
        <x:v>포장 내부가 더 조밀해지거나 옆으로 밀리고, 아래 지지층의 변형까지 결과에 보태질 수 있습니다. 또, 같은 차가 지나가도 도로의 온도와 재료, 두께, 시공 상태에 따라 결과는 달라집니다.</x:v>
      </x:c>
      <x:c r="H23" s="38" t="str">
        <x:v>골재 간격이 작아지는 모습, 소폭 측방 이동, 하부층 변형을 순서대로 관찰한다.</x:v>
      </x:c>
      <x:c r="I23" s="38" t="str">
        <x:v>작은 둔음, 찢김·폭발 없음</x:v>
      </x:c>
      <x:c r="J23" s="38" t="str">
        <x:v>L05 · 홈은 한 번에 생기지 않는다</x:v>
      </x:c>
      <x:c r="K23" s="38" t="str">
        <x:v>아스팔트가 칼로 절삭되거나 폭발적으로 옆으로 솟지 않음.</x:v>
      </x:c>
      <x:c r="L23" s="38" t="str">
        <x:v>F06; F07; F08</x:v>
      </x:c>
      <x:c r="M23" s="38" t="str">
        <x:v>https://www.fhwa.dot.gov/publications/research/infrastructure/pavements/11045/003.cfm
https://link.springer.com/article/10.1186/s43065-023-00082-9
https://www.kci.go.kr/kciportal/ci/sereArticleSearch/ciSereArtiView.kci?sereArticleSearchBean.artiId=ART001685955</x:v>
      </x:c>
      <x:c r="N23" s="38" t="str">
        <x:v>음성 미측정 / 렌더 전</x:v>
      </x:c>
    </x:row>
    <x:row r="24" ht="154" customHeight="1">
      <x:c r="A24" s="38" t="str">
        <x:v>C19</x:v>
      </x:c>
      <x:c r="B24" s="46" t="n">
        <x:v>259</x:v>
      </x:c>
      <x:c r="C24" s="46" t="n">
        <x:v>270</x:v>
      </x:c>
      <x:c r="D24" s="47" t="n">
        <x:f>C24-B24</x:f>
        <x:v>11</x:v>
      </x:c>
      <x:c r="E24" s="47" t="n">
        <x:f>B24*Overview!$B$6</x:f>
        <x:v>6216</x:v>
      </x:c>
      <x:c r="F24" s="47" t="n">
        <x:f>C24*Overview!$B$6</x:f>
        <x:v>6480</x:v>
      </x:c>
      <x:c r="G24" s="38" t="str">
        <x:v>무거운 차량이 천천히 움직이거나 멈추는 구간도 살펴야 합니다. 그래서 사람이 운전하는 버스의 도로에도 파임이 생길 수 있습니다.</x:v>
      </x:c>
      <x:c r="H24" s="38" t="str">
        <x:v>정차 구간의 느린 바퀴와 햇빛에 데워진 일반 노면을 순서대로 제시.</x:v>
      </x:c>
      <x:c r="I24" s="38" t="str">
        <x:v>완만한 감속음</x:v>
      </x:c>
      <x:c r="J24" s="38" t="str">
        <x:v>L05 · 홈은 한 번에 생기지 않는다</x:v>
      </x:c>
      <x:c r="K24" s="38" t="str">
        <x:v>붉은 발광 온도·응력 시각화 금지. 복합 조건이며 숫자 없음.</x:v>
      </x:c>
      <x:c r="L24" s="38" t="str">
        <x:v>F06; F07; F08</x:v>
      </x:c>
      <x:c r="M24" s="38" t="str">
        <x:v>https://www.fhwa.dot.gov/publications/research/infrastructure/pavements/11045/003.cfm
https://link.springer.com/article/10.1186/s43065-023-00082-9
https://www.kci.go.kr/kciportal/ci/sereArticleSearch/ciSereArtiView.kci?sereArticleSearchBean.artiId=ART001685955</x:v>
      </x:c>
      <x:c r="N24" s="38" t="str">
        <x:v>음성 미측정 / 렌더 전</x:v>
      </x:c>
    </x:row>
    <x:row r="25" ht="154" customHeight="1">
      <x:c r="A25" s="38" t="str">
        <x:v>C20</x:v>
      </x:c>
      <x:c r="B25" s="46" t="n">
        <x:v>270</x:v>
      </x:c>
      <x:c r="C25" s="46" t="n">
        <x:v>285</x:v>
      </x:c>
      <x:c r="D25" s="47" t="n">
        <x:f>C25-B25</x:f>
        <x:v>15</x:v>
      </x:c>
      <x:c r="E25" s="47" t="n">
        <x:f>B25*Overview!$B$6</x:f>
        <x:v>6480</x:v>
      </x:c>
      <x:c r="F25" s="47" t="n">
        <x:f>C25*Overview!$B$6</x:f>
        <x:v>6840</x:v>
      </x:c>
      <x:c r="G25" s="38" t="str">
        <x:v>반대로 자동으로 달린다고 반드시 도로가 망가지는 것도 아닙니다. 문제는 자동이냐 수동이냐가 아니라, 그 하중과 반복 주행을 도로가 견디도록 준비됐느냐입니다.</x:v>
      </x:c>
      <x:c r="H25" s="38" t="str">
        <x:v>일반 버스와 유도 차량이 같은 포장 위를 각각 지나가는 장면을 순차 비교.</x:v>
      </x:c>
      <x:c r="I25" s="38" t="str">
        <x:v>두 차량 동일한 음향 무게</x:v>
      </x:c>
      <x:c r="J25" s="38" t="str">
        <x:v>L05 · 홈은 한 번에 생기지 않는다</x:v>
      </x:c>
      <x:c r="K25" s="38" t="str">
        <x:v>사람 운전은 안전, 자동운전은 파괴라는 이분법 금지.</x:v>
      </x:c>
      <x:c r="L25" s="38" t="str">
        <x:v>F06; F07; F08</x:v>
      </x:c>
      <x:c r="M25" s="38" t="str">
        <x:v>https://www.fhwa.dot.gov/publications/research/infrastructure/pavements/11045/003.cfm
https://link.springer.com/article/10.1186/s43065-023-00082-9
https://www.kci.go.kr/kciportal/ci/sereArticleSearch/ciSereArtiView.kci?sereArticleSearchBean.artiId=ART001685955</x:v>
      </x:c>
      <x:c r="N25" s="38" t="str">
        <x:v>음성 미측정 / 렌더 전</x:v>
      </x:c>
    </x:row>
    <x:row r="26" ht="154" customHeight="1">
      <x:c r="A26" s="38" t="str">
        <x:v>C21</x:v>
      </x:c>
      <x:c r="B26" s="46" t="n">
        <x:v>285</x:v>
      </x:c>
      <x:c r="C26" s="46" t="n">
        <x:v>301</x:v>
      </x:c>
      <x:c r="D26" s="47" t="n">
        <x:f>C26-B26</x:f>
        <x:v>16</x:v>
      </x:c>
      <x:c r="E26" s="47" t="n">
        <x:f>B26*Overview!$B$6</x:f>
        <x:v>6840</x:v>
      </x:c>
      <x:c r="F26" s="47" t="n">
        <x:f>C26*Overview!$B$6</x:f>
        <x:v>7224</x:v>
      </x:c>
      <x:c r="G26" s="38" t="str">
        <x:v>여기까지 보면 이런 생각이 들 수 있습니다. 차를 만든 사람들은 도로가 파일 수 있다는 걸 몰랐던 걸까요? 하지만 이천구년에 출원된 바이모달 트램 관련 특허를 보면 이야기가 달라집니다.</x:v>
      </x:c>
      <x:c r="H26" s="38" t="str">
        <x:v>현재의 절개면을 정지 상태로 놓고 카메라가 전체 시험 표본을 공개한다. 질문 뒤 짧게 쉰다.</x:v>
      </x:c>
      <x:c r="I26" s="38" t="str">
        <x:v>0.5초 정적</x:v>
      </x:c>
      <x:c r="J26" s="38" t="str">
        <x:v>L06 · 설계자들은 정말 몰랐을까</x:v>
      </x:c>
      <x:c r="K26" s="38" t="str">
        <x:v>예상 전환의 공간. 화면에 미확인 실패 현장 삽입 금지.</x:v>
      </x:c>
      <x:c r="L26" s="38" t="str">
        <x:v>F01</x:v>
      </x:c>
      <x:c r="M26" s="38" t="str">
        <x:v>https://patents.google.com/patent/KR100972385B1/ko</x:v>
      </x:c>
      <x:c r="N26" s="38" t="str">
        <x:v>음성 미측정 / 렌더 전</x:v>
      </x:c>
    </x:row>
    <x:row r="27" ht="154" customHeight="1">
      <x:c r="A27" s="38" t="str">
        <x:v>C22</x:v>
      </x:c>
      <x:c r="B27" s="46" t="n">
        <x:v>301</x:v>
      </x:c>
      <x:c r="C27" s="46" t="n">
        <x:v>322</x:v>
      </x:c>
      <x:c r="D27" s="47" t="n">
        <x:f>C27-B27</x:f>
        <x:v>21</x:v>
      </x:c>
      <x:c r="E27" s="47" t="n">
        <x:f>B27*Overview!$B$6</x:f>
        <x:v>7224</x:v>
      </x:c>
      <x:c r="F27" s="47" t="n">
        <x:f>C27*Overview!$B$6</x:f>
        <x:v>7728</x:v>
      </x:c>
      <x:c r="G27" s="38" t="str">
        <x:v>한국철도기술연구원과 현대엔지니어링이 출원한, 도로에 자기 유도용 자석을 설치하는 방법에 관한 문서입니다. 이 문서에는 일반 아스팔트 포장에 집중되는 하중으로 소성변형과 전단변형이 발생할 수 있다는 설명이 나옵니다.</x:v>
      </x:c>
      <x:c r="H27" s="38" t="str">
        <x:v>특허 번호·출원일·출원인만 별도 후반합성 카드로 4–6초 보여준 뒤 원리 모형으로 돌아온다.</x:v>
      </x:c>
      <x:c r="I27" s="38" t="str">
        <x:v>종이 넘김 1회, 과장 타자음 없음</x:v>
      </x:c>
      <x:c r="J27" s="38" t="str">
        <x:v>L06 · 설계자들은 정말 몰랐을까</x:v>
      </x:c>
      <x:c r="K27" s="38" t="str">
        <x:v>생성형 가짜 문서 금지. 원문 전체를 복제하지 않고 식별 정보 중심.</x:v>
      </x:c>
      <x:c r="L27" s="38" t="str">
        <x:v>F01</x:v>
      </x:c>
      <x:c r="M27" s="38" t="str">
        <x:v>https://patents.google.com/patent/KR100972385B1/ko</x:v>
      </x:c>
      <x:c r="N27" s="38" t="str">
        <x:v>음성 미측정 / 렌더 전</x:v>
      </x:c>
    </x:row>
    <x:row r="28" ht="154" customHeight="1">
      <x:c r="A28" s="38" t="str">
        <x:v>C23</x:v>
      </x:c>
      <x:c r="B28" s="46" t="n">
        <x:v>322</x:v>
      </x:c>
      <x:c r="C28" s="46" t="n">
        <x:v>334</x:v>
      </x:c>
      <x:c r="D28" s="47" t="n">
        <x:f>C28-B28</x:f>
        <x:v>12</x:v>
      </x:c>
      <x:c r="E28" s="47" t="n">
        <x:f>B28*Overview!$B$6</x:f>
        <x:v>7728</x:v>
      </x:c>
      <x:c r="F28" s="47" t="n">
        <x:f>C28*Overview!$B$6</x:f>
        <x:v>8016</x:v>
      </x:c>
      <x:c r="G28" s="38" t="str">
        <x:v>콘크리트 포장, 변형을 줄이는 재료, 정기적인 보수도 함께 언급됩니다. 적어도 위험 자체를 아무도 예상하지 못했다는 결론은 맞지 않습니다.</x:v>
      </x:c>
      <x:c r="H28" s="38" t="str">
        <x:v>동일한 유도 마커가 아스팔트·콘크리트 설명 표본에 각각 설치된 상태를 순차 관찰한다.</x:v>
      </x:c>
      <x:c r="I28" s="38" t="str">
        <x:v>짧은 재질 차이의 접촉음</x:v>
      </x:c>
      <x:c r="J28" s="38" t="str">
        <x:v>L06 · 설계자들은 정말 몰랐을까</x:v>
      </x:c>
      <x:c r="K28" s="38" t="str">
        <x:v>표본 비교이며 실제 사후 개량 공사를 재현하는 장면이 아님.</x:v>
      </x:c>
      <x:c r="L28" s="38" t="str">
        <x:v>F01</x:v>
      </x:c>
      <x:c r="M28" s="38" t="str">
        <x:v>https://patents.google.com/patent/KR100972385B1/ko</x:v>
      </x:c>
      <x:c r="N28" s="38" t="str">
        <x:v>음성 미측정 / 렌더 전</x:v>
      </x:c>
    </x:row>
    <x:row r="29" ht="154" customHeight="1">
      <x:c r="A29" s="38" t="str">
        <x:v>C24</x:v>
      </x:c>
      <x:c r="B29" s="46" t="n">
        <x:v>334</x:v>
      </x:c>
      <x:c r="C29" s="46" t="n">
        <x:v>350</x:v>
      </x:c>
      <x:c r="D29" s="47" t="n">
        <x:f>C29-B29</x:f>
        <x:v>16</x:v>
      </x:c>
      <x:c r="E29" s="47" t="n">
        <x:f>B29*Overview!$B$6</x:f>
        <x:v>8016</x:v>
      </x:c>
      <x:c r="F29" s="47" t="n">
        <x:f>C29*Overview!$B$6</x:f>
        <x:v>8400</x:v>
      </x:c>
      <x:c r="G29" s="38" t="str">
        <x:v>다만 특허에 대책이 적혀 있다는 사실만으로, 모든 현장의 설계와 운영이 적절했다고 입증되는 것도 아닙니다. 알고 있었는지와, 실제로 어떻게 적용했는지는 따로 확인해야 합니다.</x:v>
      </x:c>
      <x:c r="H29" s="38" t="str">
        <x:v>특허 문서 식별 카드와 별개인 현장 점검 기록 빈 양식을 연결해 알고 있었음과 적용 증거를 구분한다.</x:v>
      </x:c>
      <x:c r="I29" s="38" t="str">
        <x:v>지속음을 낮춰 문장 전달</x:v>
      </x:c>
      <x:c r="J29" s="38" t="str">
        <x:v>L06 · 설계자들은 정말 몰랐을까</x:v>
      </x:c>
      <x:c r="K29" s="38" t="str">
        <x:v>빈 양식은 설명용. 실제 확인되지 않은 검사 수치·도장 만들지 않음.</x:v>
      </x:c>
      <x:c r="L29" s="38" t="str">
        <x:v>F01</x:v>
      </x:c>
      <x:c r="M29" s="38" t="str">
        <x:v>https://patents.google.com/patent/KR100972385B1/ko</x:v>
      </x:c>
      <x:c r="N29" s="38" t="str">
        <x:v>음성 미측정 / 렌더 전</x:v>
      </x:c>
    </x:row>
    <x:row r="30" ht="154" customHeight="1">
      <x:c r="A30" s="38" t="str">
        <x:v>C25</x:v>
      </x:c>
      <x:c r="B30" s="46" t="n">
        <x:v>350</x:v>
      </x:c>
      <x:c r="C30" s="46" t="n">
        <x:v>361</x:v>
      </x:c>
      <x:c r="D30" s="47" t="n">
        <x:f>C30-B30</x:f>
        <x:v>11</x:v>
      </x:c>
      <x:c r="E30" s="47" t="n">
        <x:f>B30*Overview!$B$6</x:f>
        <x:v>8400</x:v>
      </x:c>
      <x:c r="F30" s="47" t="n">
        <x:f>C30*Overview!$B$6</x:f>
        <x:v>8664</x:v>
      </x:c>
      <x:c r="G30" s="38" t="str">
        <x:v>실제 운영 기록도 구분해서 봐야 합니다. 인천교통공사는 이천십팔년 청라에 바이모달 트램 네 대를 투입한다고 발표했습니다.</x:v>
      </x:c>
      <x:c r="H30" s="38" t="str">
        <x:v>2018년 청라 투입 발표의 날짜·기관·4대만 검증된 정보 카드로 제시. 차량 모형은 당시를 참고.</x:v>
      </x:c>
      <x:c r="I30" s="38" t="str">
        <x:v>실내 기록 열람 앰비언스</x:v>
      </x:c>
      <x:c r="J30" s="38" t="str">
        <x:v>L07 · 도로의 원리와 차량 고장은 별개다</x:v>
      </x:c>
      <x:c r="K30" s="38" t="str">
        <x:v>오늘의 운영 상태·전량 폐차 여부·자동운전 사용 여부로 확대하지 않음.</x:v>
      </x:c>
      <x:c r="L30" s="38" t="str">
        <x:v>F03; F04</x:v>
      </x:c>
      <x:c r="M30" s="38" t="str">
        <x:v>https://www.ictr.or.kr/main/bbs/bbsMsgDetail.do?bcd=report&amp;msg_seq=1928&amp;pgno=108
https://www.ictr.or.kr/main/bbs/bbsMsgDetail.do?bcd=reportexplain&amp;msg_seq=2146</x:v>
      </x:c>
      <x:c r="N30" s="38" t="str">
        <x:v>음성 미측정 / 렌더 전</x:v>
      </x:c>
    </x:row>
    <x:row r="31" ht="154" customHeight="1">
      <x:c r="A31" s="38" t="str">
        <x:v>C26</x:v>
      </x:c>
      <x:c r="B31" s="46" t="n">
        <x:v>361</x:v>
      </x:c>
      <x:c r="C31" s="46" t="n">
        <x:v>378</x:v>
      </x:c>
      <x:c r="D31" s="47" t="n">
        <x:f>C31-B31</x:f>
        <x:v>17</x:v>
      </x:c>
      <x:c r="E31" s="47" t="n">
        <x:f>B31*Overview!$B$6</x:f>
        <x:v>8664</x:v>
      </x:c>
      <x:c r="F31" s="47" t="n">
        <x:f>C31*Overview!$B$6</x:f>
        <x:v>9072</x:v>
      </x:c>
      <x:c r="G31" s="38" t="str">
        <x:v>따라서 기술 전체를 만들어 놓고 곧바로 버린 차라고 묶기는 어렵습니다. 이천이십년 공사 해명자료에는 차체 균열, 배터리장치의 고압퓨즈 불량, 기어박스 누유 문제가 등장합니다.</x:v>
      </x:c>
      <x:c r="H31" s="38" t="str">
        <x:v>2020년 자료 식별 카드 뒤 차체 구조·퓨즈·기어박스 일반 개념 부품을 순차 보여준다.</x:v>
      </x:c>
      <x:c r="I31" s="38" t="str">
        <x:v>중립적인 장치 환경음</x:v>
      </x:c>
      <x:c r="J31" s="38" t="str">
        <x:v>L07 · 도로의 원리와 차량 고장은 별개다</x:v>
      </x:c>
      <x:c r="K31" s="38" t="str">
        <x:v>결함 위치·균열 형상·파열 모습 임의 재현 금지. 폭발 없음.</x:v>
      </x:c>
      <x:c r="L31" s="38" t="str">
        <x:v>F03; F04</x:v>
      </x:c>
      <x:c r="M31" s="38" t="str">
        <x:v>https://www.ictr.or.kr/main/bbs/bbsMsgDetail.do?bcd=report&amp;msg_seq=1928&amp;pgno=108
https://www.ictr.or.kr/main/bbs/bbsMsgDetail.do?bcd=reportexplain&amp;msg_seq=2146</x:v>
      </x:c>
      <x:c r="N31" s="38" t="str">
        <x:v>음성 미측정 / 렌더 전</x:v>
      </x:c>
    </x:row>
    <x:row r="32" ht="154" customHeight="1">
      <x:c r="A32" s="38" t="str">
        <x:v>C27</x:v>
      </x:c>
      <x:c r="B32" s="46" t="n">
        <x:v>378</x:v>
      </x:c>
      <x:c r="C32" s="46" t="n">
        <x:v>396</x:v>
      </x:c>
      <x:c r="D32" s="47" t="n">
        <x:f>C32-B32</x:f>
        <x:v>18</x:v>
      </x:c>
      <x:c r="E32" s="47" t="n">
        <x:f>B32*Overview!$B$6</x:f>
        <x:v>9072</x:v>
      </x:c>
      <x:c r="F32" s="47" t="n">
        <x:f>C32*Overview!$B$6</x:f>
        <x:v>9504</x:v>
      </x:c>
      <x:c r="G32" s="38" t="str">
        <x:v>공사는 균열 보강과 퓨즈 관련 개선을 설명했고, 누유는 개선 작업을 진행 중이라고 밝혔습니다. 이것은 운영기관의 당시 설명입니다. 모든 문제가 완전히 끝났다는 독립적인 판정과는 구별해야 합니다.</x:v>
      </x:c>
      <x:c r="H32" s="38" t="str">
        <x:v>기어박스 설명 모형 옆으로 도로 모형이 보이되 고장을 연결하는 케이블·화살표·연쇄 연출은 하지 않는다.</x:v>
      </x:c>
      <x:c r="I32" s="38" t="str">
        <x:v>경고 비프 삭제</x:v>
      </x:c>
      <x:c r="J32" s="38" t="str">
        <x:v>L07 · 도로의 원리와 차량 고장은 별개다</x:v>
      </x:c>
      <x:c r="K32" s="38" t="str">
        <x:v>운영기관 설명과 독립 검증을 구별. 누유 개선은 당시 진행 중.</x:v>
      </x:c>
      <x:c r="L32" s="38" t="str">
        <x:v>F03; F04</x:v>
      </x:c>
      <x:c r="M32" s="38" t="str">
        <x:v>https://www.ictr.or.kr/main/bbs/bbsMsgDetail.do?bcd=report&amp;msg_seq=1928&amp;pgno=108
https://www.ictr.or.kr/main/bbs/bbsMsgDetail.do?bcd=reportexplain&amp;msg_seq=2146</x:v>
      </x:c>
      <x:c r="N32" s="38" t="str">
        <x:v>음성 미측정 / 렌더 전</x:v>
      </x:c>
    </x:row>
    <x:row r="33" ht="154" customHeight="1">
      <x:c r="A33" s="38" t="str">
        <x:v>C28</x:v>
      </x:c>
      <x:c r="B33" s="46" t="n">
        <x:v>396</x:v>
      </x:c>
      <x:c r="C33" s="46" t="n">
        <x:v>415</x:v>
      </x:c>
      <x:c r="D33" s="47" t="n">
        <x:f>C33-B33</x:f>
        <x:v>19</x:v>
      </x:c>
      <x:c r="E33" s="47" t="n">
        <x:f>B33*Overview!$B$6</x:f>
        <x:v>9504</x:v>
      </x:c>
      <x:c r="F33" s="47" t="n">
        <x:f>C33*Overview!$B$6</x:f>
        <x:v>9960</x:v>
      </x:c>
      <x:c r="G33" s="38" t="str">
        <x:v>동시에 이 자료만으로, 도로가 파여 센서가 먹통이 되고 유압장치가 터졌다는 연쇄 고장을 입증할 수도 없습니다. 고장 기록은 무엇이 문제였는지 알려줍니다. 왜 고장 났는지는 원인 조사와 운행 자료로 연결해야 합니다.</x:v>
      </x:c>
      <x:c r="H33" s="38" t="str">
        <x:v>차량과 도로를 함께 보여준 상태로 카메라 정지. 이어지는 점검 문서는 확인에 필요한 자료라는 용도만 제시.</x:v>
      </x:c>
      <x:c r="I33" s="38" t="str">
        <x:v>대사 끝 0.6초 쉼</x:v>
      </x:c>
      <x:c r="J33" s="38" t="str">
        <x:v>L07 · 도로의 원리와 차량 고장은 별개다</x:v>
      </x:c>
      <x:c r="K33" s="38" t="str">
        <x:v>원인 연결의 부재를 고장 부재로 말하지 않음.</x:v>
      </x:c>
      <x:c r="L33" s="38" t="str">
        <x:v>F03; F04</x:v>
      </x:c>
      <x:c r="M33" s="38" t="str">
        <x:v>https://www.ictr.or.kr/main/bbs/bbsMsgDetail.do?bcd=report&amp;msg_seq=1928&amp;pgno=108
https://www.ictr.or.kr/main/bbs/bbsMsgDetail.do?bcd=reportexplain&amp;msg_seq=2146</x:v>
      </x:c>
      <x:c r="N33" s="38" t="str">
        <x:v>음성 미측정 / 렌더 전</x:v>
      </x:c>
    </x:row>
    <x:row r="34" ht="154" customHeight="1">
      <x:c r="A34" s="38" t="str">
        <x:v>C29</x:v>
      </x:c>
      <x:c r="B34" s="46" t="n">
        <x:v>415</x:v>
      </x:c>
      <x:c r="C34" s="46" t="n">
        <x:v>433</x:v>
      </x:c>
      <x:c r="D34" s="47" t="n">
        <x:f>C34-B34</x:f>
        <x:v>18</x:v>
      </x:c>
      <x:c r="E34" s="47" t="n">
        <x:f>B34*Overview!$B$6</x:f>
        <x:v>9960</x:v>
      </x:c>
      <x:c r="F34" s="47" t="n">
        <x:f>C34*Overview!$B$6</x:f>
        <x:v>10392</x:v>
      </x:c>
      <x:c r="G34" s="38" t="str">
        <x:v>그렇다면 같은 자리를 반복해서 밟는 교통수단에는 어떤 길이 필요할까요? 무조건 두꺼운 콘크리트를 붓는 것이 유일한 답은 아닙니다. 먼저 실제 축하중과 운행 횟수, 온도와 속도를 놓고 포장 구조를 정해야 합니다.</x:v>
      </x:c>
      <x:c r="H34" s="38" t="str">
        <x:v>같은 차량 아래에 두 가지 설명용 포장 표본을 놓고 순차적으로 카메라 이동한다.</x:v>
      </x:c>
      <x:c r="I34" s="38" t="str">
        <x:v>두 재료 접촉음 차이만 표현</x:v>
      </x:c>
      <x:c r="J34" s="38" t="str">
        <x:v>L08 · 길을 바꾸는 여러 방법</x:v>
      </x:c>
      <x:c r="K34" s="38" t="str">
        <x:v>아스팔트 불가·콘크리트 무조건 정답이라는 구도 금지.</x:v>
      </x:c>
      <x:c r="L34" s="38" t="str">
        <x:v>F01; F06; F08</x:v>
      </x:c>
      <x:c r="M34" s="38" t="str">
        <x:v>https://patents.google.com/patent/KR100972385B1/ko
https://www.fhwa.dot.gov/publications/research/infrastructure/pavements/11045/003.cfm
https://www.kci.go.kr/kciportal/ci/sereArticleSearch/ciSereArtiView.kci?sereArticleSearchBean.artiId=ART001685955</x:v>
      </x:c>
      <x:c r="N34" s="38" t="str">
        <x:v>음성 미측정 / 렌더 전</x:v>
      </x:c>
    </x:row>
    <x:row r="35" ht="154" customHeight="1">
      <x:c r="A35" s="38" t="str">
        <x:v>C30</x:v>
      </x:c>
      <x:c r="B35" s="46" t="n">
        <x:v>433</x:v>
      </x:c>
      <x:c r="C35" s="46" t="n">
        <x:v>446</x:v>
      </x:c>
      <x:c r="D35" s="47" t="n">
        <x:f>C35-B35</x:f>
        <x:v>13</x:v>
      </x:c>
      <x:c r="E35" s="47" t="n">
        <x:f>B35*Overview!$B$6</x:f>
        <x:v>10392</x:v>
      </x:c>
      <x:c r="F35" s="47" t="n">
        <x:f>C35*Overview!$B$6</x:f>
        <x:v>10704</x:v>
      </x:c>
      <x:c r="G35" s="38" t="str">
        <x:v>아스팔트를 쓰더라도 혼합물의 변형 저항성과 시공 품질을 따져야 합니다. 필요에 따라 콘크리트 포장도 검토할 수 있습니다. 표면 아래도 중요합니다.</x:v>
      </x:c>
      <x:c r="H35" s="38" t="str">
        <x:v>표면 혼합물의 미세 구조에서 지지층까지 내려가 모든 층이 이어지는 모습을 보여준다.</x:v>
      </x:c>
      <x:c r="I35" s="38" t="str">
        <x:v>낮은 층별 재질 폴리</x:v>
      </x:c>
      <x:c r="J35" s="38" t="str">
        <x:v>L08 · 길을 바꾸는 여러 방법</x:v>
      </x:c>
      <x:c r="K35" s="38" t="str">
        <x:v>근거 없는 층 두께·콘크리트 철근량 표시 금지.</x:v>
      </x:c>
      <x:c r="L35" s="38" t="str">
        <x:v>F01; F06; F08</x:v>
      </x:c>
      <x:c r="M35" s="38" t="str">
        <x:v>https://patents.google.com/patent/KR100972385B1/ko
https://www.fhwa.dot.gov/publications/research/infrastructure/pavements/11045/003.cfm
https://www.kci.go.kr/kciportal/ci/sereArticleSearch/ciSereArtiView.kci?sereArticleSearchBean.artiId=ART001685955</x:v>
      </x:c>
      <x:c r="N35" s="38" t="str">
        <x:v>음성 미측정 / 렌더 전</x:v>
      </x:c>
    </x:row>
    <x:row r="36" ht="154" customHeight="1">
      <x:c r="A36" s="38" t="str">
        <x:v>C31</x:v>
      </x:c>
      <x:c r="B36" s="46" t="n">
        <x:v>446</x:v>
      </x:c>
      <x:c r="C36" s="46" t="n">
        <x:v>459</x:v>
      </x:c>
      <x:c r="D36" s="47" t="n">
        <x:f>C36-B36</x:f>
        <x:v>13</x:v>
      </x:c>
      <x:c r="E36" s="47" t="n">
        <x:f>B36*Overview!$B$6</x:f>
        <x:v>10704</x:v>
      </x:c>
      <x:c r="F36" s="47" t="n">
        <x:f>C36*Overview!$B$6</x:f>
        <x:v>11016</x:v>
      </x:c>
      <x:c r="G36" s="38" t="str">
        <x:v>겉만 단단하게 바꿔도 아래 지지층에 문제가 남아 있으면, 전체 도로의 성능을 보장할 수 없습니다. 정차가 반복되는 곳과 계속 달리는 곳의 조건도 같지 않습니다.</x:v>
      </x:c>
      <x:c r="H36" s="38" t="str">
        <x:v>표면만 바뀐 개념 표본과 하부까지 함께 검토한 표본을 같은 구도에서 순차 공개한다.</x:v>
      </x:c>
      <x:c r="I36" s="38" t="str">
        <x:v>과장된 공사 타격음 배제</x:v>
      </x:c>
      <x:c r="J36" s="38" t="str">
        <x:v>L08 · 길을 바꾸는 여러 방법</x:v>
      </x:c>
      <x:c r="K36" s="38" t="str">
        <x:v>콘크리트가 영구 무변형·무보수라고 보이지 않게 함.</x:v>
      </x:c>
      <x:c r="L36" s="38" t="str">
        <x:v>F01; F06; F08</x:v>
      </x:c>
      <x:c r="M36" s="38" t="str">
        <x:v>https://patents.google.com/patent/KR100972385B1/ko
https://www.fhwa.dot.gov/publications/research/infrastructure/pavements/11045/003.cfm
https://www.kci.go.kr/kciportal/ci/sereArticleSearch/ciSereArtiView.kci?sereArticleSearchBean.artiId=ART001685955</x:v>
      </x:c>
      <x:c r="N36" s="38" t="str">
        <x:v>음성 미측정 / 렌더 전</x:v>
      </x:c>
    </x:row>
    <x:row r="37" ht="154" customHeight="1">
      <x:c r="A37" s="38" t="str">
        <x:v>C32</x:v>
      </x:c>
      <x:c r="B37" s="46" t="n">
        <x:v>459</x:v>
      </x:c>
      <x:c r="C37" s="46" t="n">
        <x:v>475</x:v>
      </x:c>
      <x:c r="D37" s="47" t="n">
        <x:f>C37-B37</x:f>
        <x:v>16</x:v>
      </x:c>
      <x:c r="E37" s="47" t="n">
        <x:f>B37*Overview!$B$6</x:f>
        <x:v>11016</x:v>
      </x:c>
      <x:c r="F37" s="47" t="n">
        <x:f>C37*Overview!$B$6</x:f>
        <x:v>11400</x:v>
      </x:c>
      <x:c r="G37" s="38" t="str">
        <x:v>자석의 설치 상태와 배수, 이후 보수 방법까지 함께 살펴야 합니다. 핵심은 새 차 한 대를 도로 위에 올려놓는 일이 아닙니다. 그 차가 매일 지나갈 길까지 하나의 시스템으로 준비하는 일입니다.</x:v>
      </x:c>
      <x:c r="H37" s="38" t="str">
        <x:v>정거장·배수·마커 설치·점검 접근부를 하나의 축을 따라 관찰한다.</x:v>
      </x:c>
      <x:c r="I37" s="38" t="str">
        <x:v>평범한 도로 환경음</x:v>
      </x:c>
      <x:c r="J37" s="38" t="str">
        <x:v>L08 · 길을 바꾸는 여러 방법</x:v>
      </x:c>
      <x:c r="K37" s="38" t="str">
        <x:v>새 세부 부품을 추가하기 전 실제 구조 근거 확인.</x:v>
      </x:c>
      <x:c r="L37" s="38" t="str">
        <x:v>F01; F06; F08</x:v>
      </x:c>
      <x:c r="M37" s="38" t="str">
        <x:v>https://patents.google.com/patent/KR100972385B1/ko
https://www.fhwa.dot.gov/publications/research/infrastructure/pavements/11045/003.cfm
https://www.kci.go.kr/kciportal/ci/sereArticleSearch/ciSereArtiView.kci?sereArticleSearchBean.artiId=ART001685955</x:v>
      </x:c>
      <x:c r="N37" s="38" t="str">
        <x:v>음성 미측정 / 렌더 전</x:v>
      </x:c>
    </x:row>
    <x:row r="38" ht="154" customHeight="1">
      <x:c r="A38" s="38" t="str">
        <x:v>C33</x:v>
      </x:c>
      <x:c r="B38" s="46" t="n">
        <x:v>475</x:v>
      </x:c>
      <x:c r="C38" s="46" t="n">
        <x:v>494</x:v>
      </x:c>
      <x:c r="D38" s="47" t="n">
        <x:f>C38-B38</x:f>
        <x:v>19</x:v>
      </x:c>
      <x:c r="E38" s="47" t="n">
        <x:f>B38*Overview!$B$6</x:f>
        <x:v>11400</x:v>
      </x:c>
      <x:c r="F38" s="47" t="n">
        <x:f>C38*Overview!$B$6</x:f>
        <x:v>11856</x:v>
      </x:c>
      <x:c r="G38" s="38" t="str">
        <x:v>여기서 비용을 묻게 됩니다. 도로도 새로 준비해야 한다면, 차라리 철도를 놓는 게 더 싸지 않을까요? 그럴 수도 있고, 아닐 수도 있습니다. 같은 구간에서 같은 수의 승객을 같은 기간 동안 나른다는 조건부터 맞춰야 비교가 됩니다.</x:v>
      </x:c>
      <x:c r="H38" s="38" t="str">
        <x:v>가상의 동일 구간·동일 승객 수송 과제를 하나의 축소 노선 모형으로 제시한다.</x:v>
      </x:c>
      <x:c r="I38" s="38" t="str">
        <x:v>중립 앰비언스</x:v>
      </x:c>
      <x:c r="J38" s="38" t="str">
        <x:v>L09 · 세금은 어디까지 계산해야 할까</x:v>
      </x:c>
      <x:c r="K38" s="38" t="str">
        <x:v>가상의 모델임을 명시. 실제 경전철과 바이모달의 숫자 비교가 아님.</x:v>
      </x:c>
      <x:c r="L38" s="38" t="str">
        <x:v>분석 원칙</x:v>
      </x:c>
      <x:c r="M38" s="38" t="str"/>
      <x:c r="N38" s="38" t="str">
        <x:v>음성 미측정 / 렌더 전</x:v>
      </x:c>
    </x:row>
    <x:row r="39" ht="154" customHeight="1">
      <x:c r="A39" s="38" t="str">
        <x:v>C34</x:v>
      </x:c>
      <x:c r="B39" s="46" t="n">
        <x:v>494</x:v>
      </x:c>
      <x:c r="C39" s="46" t="n">
        <x:v>512</x:v>
      </x:c>
      <x:c r="D39" s="47" t="n">
        <x:f>C39-B39</x:f>
        <x:v>18</x:v>
      </x:c>
      <x:c r="E39" s="47" t="n">
        <x:f>B39*Overview!$B$6</x:f>
        <x:v>11856</x:v>
      </x:c>
      <x:c r="F39" s="47" t="n">
        <x:f>C39*Overview!$B$6</x:f>
        <x:v>12288</x:v>
      </x:c>
      <x:c r="G39" s="38" t="str">
        <x:v>차량 구매비만 볼 것인지, 길과 정거장을 만드는 비용까지 볼 것인지. 몇 년 뒤 포장을 고치는 비용, 차량 부품을 확보하는 비용, 운행이 멈췄을 때 대체 수송에 드는 비용은 어떻게 계산할 것인지도 정해야 합니다.</x:v>
      </x:c>
      <x:c r="H39" s="38" t="str">
        <x:v>차량 → 도로와 정거장 → 정비공간으로 같은 방향의 카메라 이동.</x:v>
      </x:c>
      <x:c r="I39" s="38" t="str">
        <x:v>세 장면 동일한 차분한 리듬</x:v>
      </x:c>
      <x:c r="J39" s="38" t="str">
        <x:v>L09 · 세금은 어디까지 계산해야 할까</x:v>
      </x:c>
      <x:c r="K39" s="38" t="str">
        <x:v>비용 항목을 보여주되 금액·막대그래프 생성 금지.</x:v>
      </x:c>
      <x:c r="L39" s="38" t="str">
        <x:v>분석 원칙</x:v>
      </x:c>
      <x:c r="M39" s="38" t="str"/>
      <x:c r="N39" s="38" t="str">
        <x:v>음성 미측정 / 렌더 전</x:v>
      </x:c>
    </x:row>
    <x:row r="40" ht="154" customHeight="1">
      <x:c r="A40" s="38" t="str">
        <x:v>C35</x:v>
      </x:c>
      <x:c r="B40" s="46" t="n">
        <x:v>512</x:v>
      </x:c>
      <x:c r="C40" s="46" t="n">
        <x:v>524</x:v>
      </x:c>
      <x:c r="D40" s="47" t="n">
        <x:f>C40-B40</x:f>
        <x:v>12</x:v>
      </x:c>
      <x:c r="E40" s="47" t="n">
        <x:f>B40*Overview!$B$6</x:f>
        <x:v>12288</x:v>
      </x:c>
      <x:c r="F40" s="47" t="n">
        <x:f>C40*Overview!$B$6</x:f>
        <x:v>12576</x:v>
      </x:c>
      <x:c r="G40" s="38" t="str">
        <x:v>큰 숫자 하나만 내세우면 강한 인상은 남습니다. 하지만 연구개발비와 차량 가격, 노선 건설비를 섞으면 무엇이 비쌌는지 판단할 수 없습니다.</x:v>
      </x:c>
      <x:c r="H40" s="38" t="str">
        <x:v>시간 경과는 자연광 전환과 정비 동작으로 표현. 예산 청구서가 폭포처럼 쏟아지지 않음.</x:v>
      </x:c>
      <x:c r="I40" s="38" t="str">
        <x:v>유지보수의 작은 작업음</x:v>
      </x:c>
      <x:c r="J40" s="38" t="str">
        <x:v>L09 · 세금은 어디까지 계산해야 할까</x:v>
      </x:c>
      <x:c r="K40" s="38" t="str">
        <x:v>미확인 국비·시비·연구비 합산 금지.</x:v>
      </x:c>
      <x:c r="L40" s="38" t="str">
        <x:v>분석 원칙</x:v>
      </x:c>
      <x:c r="M40" s="38" t="str"/>
      <x:c r="N40" s="38" t="str">
        <x:v>음성 미측정 / 렌더 전</x:v>
      </x:c>
    </x:row>
    <x:row r="41" ht="154" customHeight="1">
      <x:c r="A41" s="38" t="str">
        <x:v>C36</x:v>
      </x:c>
      <x:c r="B41" s="46" t="n">
        <x:v>524</x:v>
      </x:c>
      <x:c r="C41" s="46" t="n">
        <x:v>540</x:v>
      </x:c>
      <x:c r="D41" s="47" t="n">
        <x:f>C41-B41</x:f>
        <x:v>16</x:v>
      </x:c>
      <x:c r="E41" s="47" t="n">
        <x:f>B41*Overview!$B$6</x:f>
        <x:v>12576</x:v>
      </x:c>
      <x:c r="F41" s="47" t="n">
        <x:f>C41*Overview!$B$6</x:f>
        <x:v>12960</x:v>
      </x:c>
      <x:c r="G41" s="38" t="str">
        <x:v>예산을 감시하려면 질문도 구체적이어야 합니다. 무엇에 얼마를 썼고, 무엇을 검증했으며, 고장과 보수에는 누가 책임지는가. 이 조건을 맞춘 뒤에야 비싼 선택과 낭비를 구별할 수 있습니다.</x:v>
      </x:c>
      <x:c r="H41" s="38" t="str">
        <x:v>차량·노선·정비 모형을 한 프레임에 두고 비교할 범위를 관객에게 보여준다.</x:v>
      </x:c>
      <x:c r="I41" s="38" t="str">
        <x:v>목소리만 명료하게 전면</x:v>
      </x:c>
      <x:c r="J41" s="38" t="str">
        <x:v>L09 · 세금은 어디까지 계산해야 할까</x:v>
      </x:c>
      <x:c r="K41" s="38" t="str">
        <x:v>낭비 또는 경제성 우위 판정이 아니라 필요한 검증 기준.</x:v>
      </x:c>
      <x:c r="L41" s="38" t="str">
        <x:v>분석 원칙</x:v>
      </x:c>
      <x:c r="M41" s="38" t="str"/>
      <x:c r="N41" s="38" t="str">
        <x:v>음성 미측정 / 렌더 전</x:v>
      </x:c>
    </x:row>
    <x:row r="42" ht="154" customHeight="1">
      <x:c r="A42" s="38" t="str">
        <x:v>C37</x:v>
      </x:c>
      <x:c r="B42" s="46" t="n">
        <x:v>540</x:v>
      </x:c>
      <x:c r="C42" s="46" t="n">
        <x:v>553</x:v>
      </x:c>
      <x:c r="D42" s="47" t="n">
        <x:f>C42-B42</x:f>
        <x:v>13</x:v>
      </x:c>
      <x:c r="E42" s="47" t="n">
        <x:f>B42*Overview!$B$6</x:f>
        <x:v>12960</x:v>
      </x:c>
      <x:c r="F42" s="47" t="n">
        <x:f>C42*Overview!$B$6</x:f>
        <x:v>13272</x:v>
      </x:c>
      <x:c r="G42" s="38" t="str">
        <x:v>이 문제는 옛날 트램 이야기로 끝나지 않습니다. 미국 연방도로청의 자동화 차량 보고서도, 바퀴의 좌우 위치 분산이 줄어들 때 도로 파임이 커질 가능성을 다룹니다.</x:v>
      </x:c>
      <x:c r="H42" s="38" t="str">
        <x:v>2021년 FHWA 문서 식별 정보 4초 뒤 일반 자동화 차량의 주행대 개념도로 이동한다.</x:v>
      </x:c>
      <x:c r="I42" s="38" t="str">
        <x:v>다시 타이어 주행음</x:v>
      </x:c>
      <x:c r="J42" s="38" t="str">
        <x:v>L10 · 정밀함은 문제이자 도구다</x:v>
      </x:c>
      <x:c r="K42" s="38" t="str">
        <x:v>특정 한국 트램 시험 결과로 오인하지 않음.</x:v>
      </x:c>
      <x:c r="L42" s="38" t="str">
        <x:v>F05</x:v>
      </x:c>
      <x:c r="M42" s="38" t="str">
        <x:v>https://www.fhwa.dot.gov/publications/research/operations/21015/21015.pdf</x:v>
      </x:c>
      <x:c r="N42" s="38" t="str">
        <x:v>음성 미측정 / 렌더 전</x:v>
      </x:c>
    </x:row>
    <x:row r="43" ht="154" customHeight="1">
      <x:c r="A43" s="38" t="str">
        <x:v>C38</x:v>
      </x:c>
      <x:c r="B43" s="46" t="n">
        <x:v>553</x:v>
      </x:c>
      <x:c r="C43" s="46" t="n">
        <x:v>572</x:v>
      </x:c>
      <x:c r="D43" s="47" t="n">
        <x:f>C43-B43</x:f>
        <x:v>19</x:v>
      </x:c>
      <x:c r="E43" s="47" t="n">
        <x:f>B43*Overview!$B$6</x:f>
        <x:v>13272</x:v>
      </x:c>
      <x:c r="F43" s="47" t="n">
        <x:f>C43*Overview!$B$6</x:f>
        <x:v>13728</x:v>
      </x:c>
      <x:c r="G43" s="38" t="str">
        <x:v>반면 주행 위치를 적절히 분산하는 제어는 포장에 유리할 수 있다는 연구도 소개합니다. 똑같은 정밀 제어가 하중을 모으는 데도, 분산하는 데도 쓰일 수 있다는 뜻입니다. 물론 차를 일부러 비틀거리게 만들자는 말이 아닙니다.</x:v>
      </x:c>
      <x:c r="H43" s="38" t="str">
        <x:v>동일한 통과 횟수에서 서로 다른 횡방향 위치 선택의 개념을 순차 비교한다.</x:v>
      </x:c>
      <x:c r="I43" s="38" t="str">
        <x:v>힘은 같고 위치만 다른 접촉 펄스</x:v>
      </x:c>
      <x:c r="J43" s="38" t="str">
        <x:v>L10 · 정밀함은 문제이자 도구다</x:v>
      </x:c>
      <x:c r="K43" s="38" t="str">
        <x:v>급격한 차선 내 사행 금지. 모든 유도차량에 즉시 적용 가능한 해결책으로 단정 금지.</x:v>
      </x:c>
      <x:c r="L43" s="38" t="str">
        <x:v>F05</x:v>
      </x:c>
      <x:c r="M43" s="38" t="str">
        <x:v>https://www.fhwa.dot.gov/publications/research/operations/21015/21015.pdf</x:v>
      </x:c>
      <x:c r="N43" s="38" t="str">
        <x:v>음성 미측정 / 렌더 전</x:v>
      </x:c>
    </x:row>
    <x:row r="44" ht="154" customHeight="1">
      <x:c r="A44" s="38" t="str">
        <x:v>C39</x:v>
      </x:c>
      <x:c r="B44" s="46" t="n">
        <x:v>572</x:v>
      </x:c>
      <x:c r="C44" s="46" t="n">
        <x:v>586</x:v>
      </x:c>
      <x:c r="D44" s="47" t="n">
        <x:f>C44-B44</x:f>
        <x:v>14</x:v>
      </x:c>
      <x:c r="E44" s="47" t="n">
        <x:f>B44*Overview!$B$6</x:f>
        <x:v>13728</x:v>
      </x:c>
      <x:c r="F44" s="47" t="n">
        <x:f>C44*Overview!$B$6</x:f>
        <x:v>14064</x:v>
      </x:c>
      <x:c r="G44" s="38" t="str">
        <x:v>안전과 정차 정확성을 지키면서 어떤 운행이 가능한지는 별도로 검증해야 합니다. 처음의 두 줄로 돌아가 보죠. 우리는 차량이 길을 얼마나 정확히 따라가는지 볼 수 있습니다.</x:v>
      </x:c>
      <x:c r="H44" s="38" t="str">
        <x:v>차선 경계와 정류장 접근 공간을 동일한 모형에서 함께 공개한다.</x:v>
      </x:c>
      <x:c r="I44" s="38" t="str">
        <x:v>음악을 과하게 고조시키지 않음</x:v>
      </x:c>
      <x:c r="J44" s="38" t="str">
        <x:v>L10 · 정밀함은 문제이자 도구다</x:v>
      </x:c>
      <x:c r="K44" s="38" t="str">
        <x:v>안전·정차 정확성·적용 조건을 별도 검증할 문제로 남김.</x:v>
      </x:c>
      <x:c r="L44" s="38" t="str">
        <x:v>F05</x:v>
      </x:c>
      <x:c r="M44" s="38" t="str">
        <x:v>https://www.fhwa.dot.gov/publications/research/operations/21015/21015.pdf</x:v>
      </x:c>
      <x:c r="N44" s="38" t="str">
        <x:v>음성 미측정 / 렌더 전</x:v>
      </x:c>
    </x:row>
    <x:row r="45" ht="154" customHeight="1">
      <x:c r="A45" s="38" t="str">
        <x:v>C40</x:v>
      </x:c>
      <x:c r="B45" s="46" t="n">
        <x:v>586</x:v>
      </x:c>
      <x:c r="C45" s="46" t="n">
        <x:v>600</x:v>
      </x:c>
      <x:c r="D45" s="47" t="n">
        <x:f>C45-B45</x:f>
        <x:v>14</x:v>
      </x:c>
      <x:c r="E45" s="47" t="n">
        <x:f>B45*Overview!$B$6</x:f>
        <x:v>14064</x:v>
      </x:c>
      <x:c r="F45" s="47" t="n">
        <x:f>C45*Overview!$B$6</x:f>
        <x:v>14400</x:v>
      </x:c>
      <x:c r="G45" s="38" t="str">
        <x:v>이제는 길이 그 반복을 얼마나 오래 견디는지도 물어야 합니다. 좋은 교통수단은 차 혼자 완성되지 않습니다. 레일을 없앨 수는 있어도, 길의 설계까지 없앨 수는 없습니다.</x:v>
      </x:c>
      <x:c r="H45" s="38" t="str">
        <x:v>첫 장면의 낮은 사선 도로 구도로 복귀. 차량이 떠난 다음에도 길을 오래 남긴다.</x:v>
      </x:c>
      <x:c r="I45" s="38" t="str">
        <x:v>마지막 문장 뒤 도로 환경음 1초 목표</x:v>
      </x:c>
      <x:c r="J45" s="38" t="str">
        <x:v>L10 · 정밀함은 문제이자 도구다</x:v>
      </x:c>
      <x:c r="K45" s="38" t="str">
        <x:v>차량 또는 홈이 갑자기 사라지거나 노면이 역재생으로 회복되지 않음.</x:v>
      </x:c>
      <x:c r="L45" s="38" t="str">
        <x:v>F05</x:v>
      </x:c>
      <x:c r="M45" s="38" t="str">
        <x:v>https://www.fhwa.dot.gov/publications/research/operations/21015/21015.pdf</x:v>
      </x:c>
      <x:c r="N45" s="38" t="str">
        <x:v>음성 미측정 / 렌더 전</x:v>
      </x:c>
    </x:row>
  </x:sheetData>
  <x:mergeCells>
    <x:mergeCell ref="A1:N2"/>
    <x:mergeCell ref="A3:N3"/>
  </x:mergeCells>
  <x:dataValidations count="1">
    <x:dataValidation type="list" sqref="N6:N45">
      <x:formula1>"음성 미측정 / 렌더 전,음성 실측,프리뷰 검수,수정 필요,최종 검수"</x:formula1>
    </x:dataValidation>
  </x:dataValidations>
  <x:pageMargins left="0.7" right="0.7" top="0.75" bottom="0.75" header="0.3" footer="0.3"/>
  <x:tableParts count="1">
    <x:tablePart xmlns:r="http://schemas.openxmlformats.org/officeDocument/2006/relationships" r:id="Rd946aa7fd6fc40a5"/>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40" hidden="0" customWidth="1"/>
    <x:col min="3" max="3" width="30" hidden="0" customWidth="1"/>
    <x:col min="4" max="4" width="40" hidden="0" customWidth="1"/>
    <x:col min="5" max="5" width="40" hidden="0" customWidth="1"/>
    <x:col min="6" max="6" width="40" hidden="0" customWidth="1"/>
  </x:cols>
  <x:sheetData>
    <x:row r="1" ht="23" customHeight="1">
      <x:c r="A1" s="4" t="str">
        <x:v>SOURCES | 원문 · 자료 작성일 · 사용 범위</x:v>
      </x:c>
      <x:c r="B1" s="4"/>
      <x:c r="C1" s="4"/>
      <x:c r="D1" s="4"/>
      <x:c r="E1" s="4"/>
      <x:c r="F1" s="4"/>
    </x:row>
    <x:row r="2" ht="23" customHeight="1">
      <x:c r="A2" s="4"/>
      <x:c r="B2" s="4"/>
      <x:c r="C2" s="4"/>
      <x:c r="D2" s="4"/>
      <x:c r="E2" s="4"/>
      <x:c r="F2" s="4"/>
    </x:row>
    <x:row r="5" ht="32" customHeight="1">
      <x:c r="A5" s="14" t="str">
        <x:v>근거 ID</x:v>
      </x:c>
      <x:c r="B5" s="14" t="str">
        <x:v>기관 / 자료</x:v>
      </x:c>
      <x:c r="C5" s="14" t="str">
        <x:v>작성 시점</x:v>
      </x:c>
      <x:c r="D5" s="14" t="str">
        <x:v>원문 URL</x:v>
      </x:c>
      <x:c r="E5" s="14" t="str">
        <x:v>지지하는 내용</x:v>
      </x:c>
      <x:c r="F5" s="14" t="str">
        <x:v>확대 해석 금지</x:v>
      </x:c>
    </x:row>
    <x:row r="6" ht="110" customHeight="1">
      <x:c r="A6" s="38" t="str">
        <x:v>F01</x:v>
      </x:c>
      <x:c r="B6" s="38" t="str">
        <x:v>특허 KR100972385B1</x:v>
      </x:c>
      <x:c r="C6" s="38" t="str">
        <x:v>2009-10-27 출원 / 2010-07-27 공고</x:v>
      </x:c>
      <x:c r="D6" s="38" t="str">
        <x:v>https://patents.google.com/patent/KR100972385B1/ko</x:v>
      </x:c>
      <x:c r="E6" s="38" t="str">
        <x:v>자기 유도 방식과 포장 변형 위험·콘크리트·개선 재료·보수를 당시 문서가 논의함.</x:v>
      </x:c>
      <x:c r="F6" s="38" t="str">
        <x:v>특허 존재는 현장 적용·성능·고장 원인 입증이 아님. 비용 추정치는 사용하지 않음.</x:v>
      </x:c>
    </x:row>
    <x:row r="7" ht="110" customHeight="1">
      <x:c r="A7" s="38" t="str">
        <x:v>F02</x:v>
      </x:c>
      <x:c r="B7" s="38" t="str">
        <x:v>철도산업정보센터: 바이모달 트램</x:v>
      </x:c>
      <x:c r="C7" s="38" t="str">
        <x:v>개념·개발 경위 자료</x:v>
      </x:c>
      <x:c r="D7" s="38" t="str">
        <x:v>https://www.kric.go.kr/jsp/industry/knp/railCommonSenceDetail.jsp?p_id1=A010031131&amp;p_id2=159&amp;pageNo=6&amp;q_name=1</x:v>
      </x:c>
      <x:c r="E7" s="38" t="str">
        <x:v>고무차륜·굴절차체·자기 유도 및 이중 운행 모드의 개념.</x:v>
      </x:c>
      <x:c r="F7" s="38" t="str">
        <x:v>설계 기능과 실제 각 노선에서 사용한 운전 모드를 구별.</x:v>
      </x:c>
    </x:row>
    <x:row r="8" ht="110" customHeight="1">
      <x:c r="A8" s="38" t="str">
        <x:v>F03</x:v>
      </x:c>
      <x:c r="B8" s="38" t="str">
        <x:v>인천교통공사: 청라 GRT 바이모달 트램 투입</x:v>
      </x:c>
      <x:c r="C8" s="38" t="str">
        <x:v>2018-04-18</x:v>
      </x:c>
      <x:c r="D8" s="38" t="str">
        <x:v>https://www.ictr.or.kr/main/bbs/bbsMsgDetail.do?bcd=report&amp;msg_seq=1928&amp;pgno=108</x:v>
      </x:c>
      <x:c r="E8" s="38" t="str">
        <x:v>2018년 청라에 바이모달 트램 4대 투입 발표.</x:v>
      </x:c>
      <x:c r="F8" s="38" t="str">
        <x:v>다른 지역의 특정 차량 처분 여부나 2026년 현황을 증명하지 않음.</x:v>
      </x:c>
    </x:row>
    <x:row r="9" ht="110" customHeight="1">
      <x:c r="A9" s="38" t="str">
        <x:v>F04</x:v>
      </x:c>
      <x:c r="B9" s="38" t="str">
        <x:v>인천교통공사: 바이모달트램 관련 언론보도 해명</x:v>
      </x:c>
      <x:c r="C9" s="38" t="str">
        <x:v>2020-12-03</x:v>
      </x:c>
      <x:c r="D9" s="38" t="str">
        <x:v>https://www.ictr.or.kr/main/bbs/bbsMsgDetail.do?bcd=reportexplain&amp;msg_seq=2146</x:v>
      </x:c>
      <x:c r="E9" s="38" t="str">
        <x:v>균열·고압퓨즈·기어박스 누유와 당시 개선 조치 또는 진행 상황.</x:v>
      </x:c>
      <x:c r="F9" s="38" t="str">
        <x:v>운영기관 설명. 독립 조사 결론·모든 문제 해소 판정·도로 파임 원인설로 확대 금지.</x:v>
      </x:c>
    </x:row>
    <x:row r="10" ht="110" customHeight="1">
      <x:c r="A10" s="38" t="str">
        <x:v>F05</x:v>
      </x:c>
      <x:c r="B10" s="38" t="str">
        <x:v>FHWA: Impacts of Automated Vehicles on Highway Infrastructure</x:v>
      </x:c>
      <x:c r="C10" s="38" t="str">
        <x:v>2021-03 / FHWA-HRT-21-015 / 인쇄 쪽 41–43</x:v>
      </x:c>
      <x:c r="D10" s="38" t="str">
        <x:v>https://www.fhwa.dot.gov/publications/research/operations/21015/21015.pdf</x:v>
      </x:c>
      <x:c r="E10" s="38" t="str">
        <x:v>주행 위치 분산 감소의 포장 영향, 제어를 통한 위치 분산 연구.</x:v>
      </x:c>
      <x:c r="F10" s="38" t="str">
        <x:v>특정 한국 차량의 고장 원인이나 수명 단축률을 증명하지 않음. PDF 53–55번째 페이지.</x:v>
      </x:c>
    </x:row>
    <x:row r="11" ht="110" customHeight="1">
      <x:c r="A11" s="38" t="str">
        <x:v>F06</x:v>
      </x:c>
      <x:c r="B11" s="38" t="str">
        <x:v>FHWA: Performance Testing for Superpave and Structural Validation, Chapter 3</x:v>
      </x:c>
      <x:c r="C11" s="38" t="str">
        <x:v>2012-11 / FHWA-HRT-11-045</x:v>
      </x:c>
      <x:c r="D11" s="38" t="str">
        <x:v>https://www.fhwa.dot.gov/publications/research/infrastructure/pavements/11045/003.cfm</x:v>
      </x:c>
      <x:c r="E11" s="38" t="str">
        <x:v>반복 타이어 하중·온도·재료 조건과 소성변형, 포장 및 하부층 기여.</x:v>
      </x:c>
      <x:c r="F11" s="38" t="str">
        <x:v>본 영상은 이 시험의 수치 또는 장비를 그대로 재현한 것이 아님.</x:v>
      </x:c>
    </x:row>
    <x:row r="12" ht="110" customHeight="1">
      <x:c r="A12" s="38" t="str">
        <x:v>F07</x:v>
      </x:c>
      <x:c r="B12" s="38" t="str">
        <x:v>Deng 외: Modeling the rutting performance of asphalt pavements</x:v>
      </x:c>
      <x:c r="C12" s="38" t="str">
        <x:v>2023</x:v>
      </x:c>
      <x:c r="D12" s="38" t="str">
        <x:v>https://link.springer.com/article/10.1186/s43065-023-00082-9</x:v>
      </x:c>
      <x:c r="E12" s="38" t="str">
        <x:v>골재와 바인더의 복합재, 시간·온도 의존 반응 및 잔류변형의 개념.</x:v>
      </x:c>
      <x:c r="F12" s="38" t="str">
        <x:v>점탄성 액체처럼 포장 전체가 흐른다는 표현 금지.</x:v>
      </x:c>
    </x:row>
    <x:row r="13" ht="110" customHeight="1">
      <x:c r="A13" s="38" t="str">
        <x:v>F08</x:v>
      </x:c>
      <x:c r="B13" s="38" t="str">
        <x:v>최준성 외: 교차로 포장 소성변형 저감을 위한 해석적 연구</x:v>
      </x:c>
      <x:c r="C13" s="38" t="str">
        <x:v>2012 / 한국도로학회 14(4), 29–36</x:v>
      </x:c>
      <x:c r="D13" s="38" t="str">
        <x:v>https://www.kci.go.kr/kciportal/ci/sereArticleSearch/ciSereArtiView.kci?sereArticleSearchBean.artiId=ART001685955</x:v>
      </x:c>
      <x:c r="E13" s="38" t="str">
        <x:v>감속·정차·온도·포장 선택 등 조건을 함께 검토해야 함.</x:v>
      </x:c>
      <x:c r="F13" s="38" t="str">
        <x:v>모든 버스 정류장의 파임 원인을 이 논문 하나로 단정하지 않음.</x:v>
      </x:c>
    </x:row>
    <x:row r="14" ht="110" customHeight="1">
      <x:c r="A14" s="38" t="str">
        <x:v>F09</x:v>
      </x:c>
      <x:c r="B14" s="38" t="str">
        <x:v>Talebsafa: Optimization of Concrete Pavement Design to Truck Platoon Loading</x:v>
      </x:c>
      <x:c r="C14" s="38" t="str">
        <x:v>2021 / University of Texas at Arlington</x:v>
      </x:c>
      <x:c r="D14" s="38" t="str">
        <x:v>https://mavmatrix.uta.edu/civilengineering_dissertations/417/</x:v>
      </x:c>
      <x:c r="E14" s="38" t="str">
        <x:v>횡방향 주행 위치 분산과 집중 통과의 개념을 비교하는 연구.</x:v>
      </x:c>
      <x:c r="F14" s="38" t="str">
        <x:v>콘크리트·트럭 연구 수치를 한국 트램·아스팔트에 직접 전이하지 않음.</x:v>
      </x:c>
    </x:row>
    <x:row r="15" ht="110" customHeight="1">
      <x:c r="A15" s="38" t="str">
        <x:v>F10</x:v>
      </x:c>
      <x:c r="B15" s="38" t="str">
        <x:v>YouTube: YouTube Shorts deep dive</x:v>
      </x:c>
      <x:c r="C15" s="38" t="str">
        <x:v>2025-01-28</x:v>
      </x:c>
      <x:c r="D15" s="38" t="str">
        <x:v>https://blog.youtube/creator-and-artist-stories/youtube-shorts-deep-dive/</x:v>
      </x:c>
      <x:c r="E15" s="38" t="str">
        <x:v>첫 순간의 관심 유발과 짧은 이야기의 완결을 강조한 제작자 인터뷰.</x:v>
      </x:c>
      <x:c r="F15" s="38" t="str">
        <x:v>알고리즘 공식이나 성공·유지율 보장으로 사용하지 않음.</x:v>
      </x:c>
    </x:row>
    <x:row r="16" ht="110" customHeight="1">
      <x:c r="A16" s="38" t="str">
        <x:v>F11</x:v>
      </x:c>
      <x:c r="B16" s="38" t="str">
        <x:v>YouTube: Cracking the code to YouTube Shorts</x:v>
      </x:c>
      <x:c r="C16" s="38" t="str">
        <x:v>2026-01-15</x:v>
      </x:c>
      <x:c r="D16" s="38" t="str">
        <x:v>https://blog.youtube/creator-and-artist-stories/cracking-the-code-to-youtube-shorts/</x:v>
      </x:c>
      <x:c r="E16" s="38" t="str">
        <x:v>친숙한 소재·빠른 관심 유발·예상 뒤집기의 제작 사례.</x:v>
      </x:c>
      <x:c r="F16" s="38" t="str">
        <x:v>전체 공학쇼츠를 대표하는 통계나 최신 단일 유행으로 단정하지 않음.</x:v>
      </x:c>
    </x:row>
  </x:sheetData>
  <x:mergeCells>
    <x:mergeCell ref="A1:F2"/>
  </x:mergeCells>
  <x:pageMargins left="0.7" right="0.7" top="0.75" bottom="0.75" header="0.3" footer="0.3"/>
  <x:tableParts count="1">
    <x:tablePart xmlns:r="http://schemas.openxmlformats.org/officeDocument/2006/relationships" r:id="Rde753ce5a81c4fc7"/>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7" hidden="0" customWidth="1"/>
    <x:col min="2" max="2" width="16" hidden="0" customWidth="1"/>
    <x:col min="3" max="3" width="40" hidden="0" customWidth="1"/>
    <x:col min="4" max="4" width="24" hidden="0" customWidth="1"/>
  </x:cols>
  <x:sheetData>
    <x:row r="1" ht="23" customHeight="1">
      <x:c r="A1" s="4" t="str">
        <x:v>CLAIMS | 원문 주장 대조</x:v>
      </x:c>
      <x:c r="B1" s="4"/>
      <x:c r="C1" s="4"/>
      <x:c r="D1" s="4"/>
    </x:row>
    <x:row r="2" ht="23" customHeight="1">
      <x:c r="A2" s="4"/>
      <x:c r="B2" s="4"/>
      <x:c r="C2" s="4"/>
      <x:c r="D2" s="4"/>
    </x:row>
    <x:row r="5" ht="32" customHeight="1">
      <x:c r="A5" s="14" t="str">
        <x:v>기존 문장 / 주장</x:v>
      </x:c>
      <x:c r="B5" s="14" t="str">
        <x:v>처리</x:v>
      </x:c>
      <x:c r="C5" s="14" t="str">
        <x:v>수정 이유 / 제한</x:v>
      </x:c>
      <x:c r="D5" s="14" t="str">
        <x:v>근거</x:v>
      </x:c>
    </x:row>
    <x:row r="6" ht="100" customHeight="1">
      <x:c r="A6" s="38" t="str">
        <x:v>900억 원짜리 차량 / 수백억 콘크리트 공사</x:v>
      </x:c>
      <x:c r="B6" s="38" t="str">
        <x:v>삭제</x:v>
      </x:c>
      <x:c r="C6" s="38" t="str">
        <x:v>이번에 확인한 1차 자료로 액수의 대상·사업 범위·집행액을 연결하지 못함. 연구개발·차량·노선 비용 혼합 금지.</x:v>
      </x:c>
      <x:c r="D6" s="38" t="str">
        <x:v>미확인</x:v>
      </x:c>
    </x:row>
    <x:row r="7" ht="100" customHeight="1">
      <x:c r="A7" s="38" t="str">
        <x:v>폐차장 직행 / 세종 외곽의 현재 방치 차량</x:v>
      </x:c>
      <x:c r="B7" s="38" t="str">
        <x:v>삭제</x:v>
      </x:c>
      <x:c r="C7" s="38" t="str">
        <x:v>특정 차량의 식별·운행·처분 기록 미확인. 2018년 청라 투입 기록은 기술 전체의 즉시 폐기를 뒷받침하지 않음.</x:v>
      </x:c>
      <x:c r="D7" s="38" t="str">
        <x:v>F03</x:v>
      </x:c>
    </x:row>
    <x:row r="8" ht="100" customHeight="1">
      <x:c r="A8" s="38" t="str">
        <x:v>레이저가 도로 속 자석을 읽음</x:v>
      </x:c>
      <x:c r="B8" s="38" t="str">
        <x:v>교정</x:v>
      </x:c>
      <x:c r="C8" s="38" t="str">
        <x:v>자기장을 읽는 센서와 위치 기준 마커로 설명. 빛·흡인력·가짜 스캔 UI 삭제.</x:v>
      </x:c>
      <x:c r="D8" s="38" t="str">
        <x:v>F01; F02</x:v>
      </x:c>
    </x:row>
    <x:row r="9" ht="100" customHeight="1">
      <x:c r="A9" s="38" t="str">
        <x:v>0.1 cm, 10 mm, 0.001% 정밀도</x:v>
      </x:c>
      <x:c r="B9" s="38" t="str">
        <x:v>삭제</x:v>
      </x:c>
      <x:c r="C9" s="38" t="str">
        <x:v>정의·측정 조건·해당 장비 성능 근거 없음. 같은 경로의 반복으로 서술.</x:v>
      </x:c>
      <x:c r="D9" s="38" t="str">
        <x:v>미확인</x:v>
      </x:c>
    </x:row>
    <x:row r="10" ht="100" customHeight="1">
      <x:c r="A10" s="38" t="str">
        <x:v>20톤이 폭 20cm 한 줄에 작용</x:v>
      </x:c>
      <x:c r="B10" s="38" t="str">
        <x:v>삭제</x:v>
      </x:c>
      <x:c r="C10" s="38" t="str">
        <x:v>차량 총중량을 한 타이어 접촉하중으로 치환하지 않음. 축하중·타이어·윤하중·접지면 구분.</x:v>
      </x:c>
      <x:c r="D10" s="38" t="str">
        <x:v>기계 설명의 모델링 조건</x:v>
      </x:c>
    </x:row>
    <x:row r="11" ht="100" customHeight="1">
      <x:c r="A11" s="38" t="str">
        <x:v>일반 버스는 파임이 없음 / 운전자가 핸들을 흔들어 보호</x:v>
      </x:c>
      <x:c r="B11" s="38" t="str">
        <x:v>교정</x:v>
      </x:c>
      <x:c r="C11" s="38" t="str">
        <x:v>통과 간 횡방향 위치 분산과 집중 통과를 비교. 일부러 뱀처럼 주행하는 애니메이션 금지.</x:v>
      </x:c>
      <x:c r="D11" s="38" t="str">
        <x:v>F05; F08; F09</x:v>
      </x:c>
    </x:row>
    <x:row r="12" ht="100" customHeight="1">
      <x:c r="A12" s="38" t="str">
        <x:v>아스팔트는 점탄성 유체 / 엿가락처럼 녹음</x:v>
      </x:c>
      <x:c r="B12" s="38" t="str">
        <x:v>교정</x:v>
      </x:c>
      <x:c r="C12" s="38" t="str">
        <x:v>포장 혼합물은 골재·바인더 복합재. 압밀·측방 변형·하부층 영향과 잔류 변형을 구분.</x:v>
      </x:c>
      <x:c r="D12" s="38" t="str">
        <x:v>F06; F07</x:v>
      </x:c>
    </x:row>
    <x:row r="13" ht="100" customHeight="1">
      <x:c r="A13" s="38" t="str">
        <x:v>도로 파임 → 센서 먹통 → 유압 실린더 파열</x:v>
      </x:c>
      <x:c r="B13" s="38" t="str">
        <x:v>삭제</x:v>
      </x:c>
      <x:c r="C13" s="38" t="str">
        <x:v>검토한 운영기관 자료는 이 인과 사슬을 입증하지 않음. 보고된 결함과 추정 원인을 분리.</x:v>
      </x:c>
      <x:c r="D13" s="38" t="str">
        <x:v>F04</x:v>
      </x:c>
    </x:row>
    <x:row r="14" ht="100" customHeight="1">
      <x:c r="A14" s="38" t="str">
        <x:v>엔지니어들이 처음부터 몰랐음</x:v>
      </x:c>
      <x:c r="B14" s="38" t="str">
        <x:v>반증 근거 제시</x:v>
      </x:c>
      <x:c r="C14" s="38" t="str">
        <x:v>2009년 출원 특허가 집중하중·변형과 포장 대책을 언급. 현장 적용이 적절했는지는 별도 문제.</x:v>
      </x:c>
      <x:c r="D14" s="38" t="str">
        <x:v>F01</x:v>
      </x:c>
    </x:row>
    <x:row r="15" ht="100" customHeight="1">
      <x:c r="A15" s="38" t="str">
        <x:v>콘크리트 도로면 경전철이 무조건 더 쌈</x:v>
      </x:c>
      <x:c r="B15" s="38" t="str">
        <x:v>삭제</x:v>
      </x:c>
      <x:c r="C15" s="38" t="str">
        <x:v>같은 수송량·구간·기간·비용 범위로 생애주기 비교가 없으면 판단 불가.</x:v>
      </x:c>
      <x:c r="D15" s="38" t="str">
        <x:v>분석 원칙</x:v>
      </x:c>
    </x:row>
    <x:row r="16" ht="100" customHeight="1">
      <x:c r="A16" s="38" t="str">
        <x:v>Visual Forensics가 2026 공학쇼츠 대세</x:v>
      </x:c>
      <x:c r="B16" s="38" t="str">
        <x:v>범위 축소</x:v>
      </x:c>
      <x:c r="C16" s="38" t="str">
        <x:v>포렌식적 관찰 연출은 채택. 장르 전체 최신 유행이라는 통계적 주장은 하지 않음.</x:v>
      </x:c>
      <x:c r="D16" s="38" t="str">
        <x:v>F10; F11</x:v>
      </x:c>
    </x:row>
  </x:sheetData>
  <x:mergeCells>
    <x:mergeCell ref="A1:D2"/>
  </x:mergeCells>
  <x:pageMargins left="0.7" right="0.7" top="0.75" bottom="0.75" header="0.3" footer="0.3"/>
  <x:tableParts count="1">
    <x:tablePart xmlns:r="http://schemas.openxmlformats.org/officeDocument/2006/relationships" r:id="R7bdbb0212d4f48ec"/>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68" hidden="0" customWidth="1"/>
    <x:col min="3" max="3" width="23" hidden="0" customWidth="1"/>
  </x:cols>
  <x:sheetData>
    <x:row r="1" ht="23" customHeight="1">
      <x:c r="A1" s="4" t="str">
        <x:v>QA | 제작 조건 · 확인하지 않은 범위</x:v>
      </x:c>
      <x:c r="B1" s="4"/>
      <x:c r="C1" s="4"/>
    </x:row>
    <x:row r="2" ht="23" customHeight="1">
      <x:c r="A2" s="4"/>
      <x:c r="B2" s="4"/>
      <x:c r="C2" s="4"/>
    </x:row>
    <x:row r="5" ht="32" customHeight="1">
      <x:c r="A5" s="14" t="str">
        <x:v>번호</x:v>
      </x:c>
      <x:c r="B5" s="14" t="str">
        <x:v>조건 / 검수 지시</x:v>
      </x:c>
      <x:c r="C5" s="14" t="str">
        <x:v>진행</x:v>
      </x:c>
    </x:row>
    <x:row r="6" ht="112" customHeight="1">
      <x:c r="A6" s="38" t="n">
        <x:v>1</x:v>
      </x:c>
      <x:c r="B6" s="38" t="str">
        <x:v>기획 기준: 기존에 설정한 45–75세 남성·교통/기계 관심층. 실제 시청자 통계나 유지율 분석을 수행한 것은 아니다.</x:v>
      </x:c>
      <x:c r="C6" s="38" t="str">
        <x:v>설계 기준</x:v>
      </x:c>
    </x:row>
    <x:row r="7" ht="112" customHeight="1">
      <x:c r="A7" s="38" t="n">
        <x:v>2</x:v>
      </x:c>
      <x:c r="B7" s="38" t="str">
        <x:v>숏폼 9:16, 1080×1920, 24fps, 명목 58초·1,392프레임. 롱폼은 제안 규격 16:9, 1920×1080, 24fps, 명목 10분·14,400프레임. 실제 음성 녹음 후 타임코드 조정이 필요하다.</x:v>
      </x:c>
      <x:c r="C7" s="38" t="str">
        <x:v>설계 기준</x:v>
      </x:c>
    </x:row>
    <x:row r="8" ht="112" customHeight="1">
      <x:c r="A8" s="38" t="n">
        <x:v>3</x:v>
      </x:c>
      <x:c r="B8" s="38" t="str">
        <x:v>큐시트 프레임은 0부터 시작하고 끝 프레임은 포함하지 않는다. Blender 장면 1부터 사용할 때는 해당 샷 시작 프레임+1부터 종료 프레임까지가 포함 범위다.</x:v>
      </x:c>
      <x:c r="C8" s="38" t="str">
        <x:v>설계 기준</x:v>
      </x:c>
    </x:row>
    <x:row r="9" ht="112" customHeight="1">
      <x:c r="A9" s="38" t="n">
        <x:v>4</x:v>
      </x:c>
      <x:c r="B9" s="38" t="str">
        <x:v>화면 원칙: 자연광·실제 재료·하나의 공간. 분할화면/PIP/가짜 HUD/빛나는 응력/과장된 파열을 쓰지 않는다. 물리 원리는 Blender에서 형상·접촉·축 배치 고정.</x:v>
      </x:c>
      <x:c r="C9" s="38" t="str">
        <x:v>설계 기준</x:v>
      </x:c>
    </x:row>
    <x:row r="10" ht="112" customHeight="1">
      <x:c r="A10" s="38" t="n">
        <x:v>5</x:v>
      </x:c>
      <x:c r="B10" s="38" t="str">
        <x:v>주장 분리: 기술적 위험, 실제 관측된 손상, 특정 고장의 원인, 경제성 판정은 서로 다른 증거가 필요하다. 청라와 세종, 시험차와 영업차, 과거와 현재를 섞지 않는다.</x:v>
      </x:c>
      <x:c r="C10" s="38" t="str">
        <x:v>설계 기준</x:v>
      </x:c>
    </x:row>
    <x:row r="11" ht="112" customHeight="1">
      <x:c r="A11" s="38" t="n">
        <x:v>6</x:v>
      </x:c>
      <x:c r="B11" s="38" t="str">
        <x:v>핵심 재현: 바퀴 하중 → 일부 회복 → 잔류변형 → 여러 통과의 누적. 골재는 강체 성격을 유지. 형상키 등으로 설명 애니메이션을 만들 수 있으나 실제 해석 결과나 정량 수명 예측으로 표기하지 않는다.</x:v>
      </x:c>
      <x:c r="C11" s="38" t="str">
        <x:v>설계 기준</x:v>
      </x:c>
    </x:row>
    <x:row r="12" ht="112" customHeight="1">
      <x:c r="A12" s="38" t="n">
        <x:v>7</x:v>
      </x:c>
      <x:c r="B12" s="38" t="str">
        <x:v>후반 표기: 기계 화면은 무문자 클린 마스터로 제작. 증거 구간만 실제 문서의 기관·제목·날짜·식별 번호를 별도 후반합성한다. 자막이 필요한 배포본은 별도 레이어. 생성형 가짜 문서 금지.</x:v>
      </x:c>
      <x:c r="C12" s="38" t="str">
        <x:v>설계 기준</x:v>
      </x:c>
    </x:row>
    <x:row r="13" ht="112" customHeight="1">
      <x:c r="A13" s="38" t="n">
        <x:v>8</x:v>
      </x:c>
      <x:c r="B13" s="38" t="str">
        <x:v>권장 설명란 문구: 이 영상의 도로 단면·반복 주행 장면은 원리 설명용 3D 재현입니다. 시간과 변형은 이해를 돕기 위해 압축·확대했으며, 특정 노선의 실제 파손이나 유한요소해석 결과를 재현한 것이 아닙니다. 역사적 사실은 기재한 문서의 해당 날짜 기준입니다.</x:v>
      </x:c>
      <x:c r="C13" s="38" t="str">
        <x:v>설계 기준</x:v>
      </x:c>
    </x:row>
    <x:row r="14" ht="112" customHeight="1">
      <x:c r="A14" s="38" t="n">
        <x:v>9</x:v>
      </x:c>
      <x:c r="B14" s="38" t="str">
        <x:v>단일 주샷이 12–20초인 롱폼 구간은 정지 화면을 오래 유지하는 뜻이 아니다. 각 샷 안에서 2–4개의 관찰 대상/상태를 순차 공개한다. 새 정보가 없는 줌인·오빗은 제거한다.</x:v>
      </x:c>
      <x:c r="C14" s="38" t="str">
        <x:v>설계 기준</x:v>
      </x:c>
    </x:row>
    <x:row r="15" ht="112" customHeight="1">
      <x:c r="A15" s="38" t="n">
        <x:v>10</x:v>
      </x:c>
      <x:c r="B15" s="38" t="str">
        <x:v>사운드: 타이어 접촉·주행·하중 제거 뒤 정적이 중심. 자기센서에서 스캔음·경고음이 실제 발생한 것처럼 만들지 않는다. 저음만으로 설명하지 말고 휴대전화에서 들리는 접촉 질감도 함께 설계한다.</x:v>
      </x:c>
      <x:c r="C15" s="38" t="str">
        <x:v>설계 기준</x:v>
      </x:c>
    </x:row>
    <x:row r="16" ht="112" customHeight="1">
      <x:c r="A16" s="38" t="n">
        <x:v>11</x:v>
      </x:c>
      <x:c r="B16" s="38" t="str">
        <x:v>먼저 만들 시험: S05–S08 잔류변형 16초 구간을 540×960으로 제작. 바퀴 회전/주행 속도 일치, 재질 비유동성, 잔류 변형, 접촉 끊김, 과장 정도를 확인한 뒤 전체 확장한다.</x:v>
      </x:c>
      <x:c r="C16" s="38" t="str">
        <x:v>설계 기준</x:v>
      </x:c>
    </x:row>
    <x:row r="17" ht="112" customHeight="1">
      <x:c r="A17" s="38" t="n">
        <x:v>12</x:v>
      </x:c>
      <x:c r="B17" s="38" t="str">
        <x:v>핵심 자산: 형상 확인한 굴절차 1대, 일반버스 1대(필요 시 단순화), 타이어/도로 단면 표본 1세트, 마커/센서 개념 자산, 교체형 포장·지지층, 검증 문서 식별 카드. 외부 에셋 구입·권리 확인·다운로드는 수행하지 않았다.</x:v>
      </x:c>
      <x:c r="C17" s="38" t="str">
        <x:v>설계 기준</x:v>
      </x:c>
    </x:row>
    <x:row r="18" ht="112" customHeight="1">
      <x:c r="A18" s="38" t="n">
        <x:v>13</x:v>
      </x:c>
      <x:c r="B18" s="38" t="str">
        <x:v>음성 지시: 차분한 설명체, 비웃음·범인 지목·스릴러 협박 톤 배제. 같은 자리 / 바퀴가 떠난 뒤 / 남은 변형 / 알고 있었는지와 적용했는지는 별개를 강조. 특정 음성 상품의 존재나 접근 권한은 가정하지 않는다.</x:v>
      </x:c>
      <x:c r="C18" s="38" t="str">
        <x:v>설계 기준</x:v>
      </x:c>
    </x:row>
    <x:row r="19" ht="112" customHeight="1">
      <x:c r="A19" s="38" t="n">
        <x:v>14</x:v>
      </x:c>
      <x:c r="B19" s="38" t="str">
        <x:v>제작 상태: 대본·명목 큐·사실 대조·출처표 작성. TTS 생성/실측, Blender 프로젝트 제작, 실제 포장 해석, 렌더, 음성 싱크/모바일 청취 검수는 미수행. 이 파일은 영상 완성 또는 QC PASS 보고서가 아니다.</x:v>
      </x:c>
      <x:c r="C19" s="38" t="str">
        <x:v>설계 기준</x:v>
      </x:c>
    </x:row>
  </x:sheetData>
  <x:mergeCells>
    <x:mergeCell ref="A1:C2"/>
  </x:mergeCells>
  <x:pageMargins left="0.7" right="0.7" top="0.75" bottom="0.75" header="0.3" footer="0.3"/>
  <x:tableParts count="1">
    <x:tablePart xmlns:r="http://schemas.openxmlformats.org/officeDocument/2006/relationships" r:id="R82d2cf2553e640db"/>
  </x:tableParts>
</x:worksheet>
</file>